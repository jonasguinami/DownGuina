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tables/table2.xml" ContentType="application/vnd.openxmlformats-officedocument.spreadsheetml.table+xml"/>
  <Override PartName="/xl/slicers/slicer2.xml" ContentType="application/vnd.ms-excel.slicer+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defaultThemeVersion="124226"/>
  <mc:AlternateContent xmlns:mc="http://schemas.openxmlformats.org/markup-compatibility/2006">
    <mc:Choice Requires="x15">
      <x15ac:absPath xmlns:x15ac="http://schemas.microsoft.com/office/spreadsheetml/2010/11/ac" url="C:\Users\guina\OneDrive\Desktop\PLANILHAS EXCELL\"/>
    </mc:Choice>
  </mc:AlternateContent>
  <xr:revisionPtr revIDLastSave="0" documentId="13_ncr:1_{FDD1FF0D-2A2B-4705-89FF-819784CC060E}" xr6:coauthVersionLast="47" xr6:coauthVersionMax="47" xr10:uidLastSave="{00000000-0000-0000-0000-000000000000}"/>
  <bookViews>
    <workbookView xWindow="-120" yWindow="-120" windowWidth="29040" windowHeight="15840" xr2:uid="{00000000-000D-0000-FFFF-FFFF00000000}"/>
  </bookViews>
  <sheets>
    <sheet name="Estoque_Cadastro" sheetId="1" r:id="rId1"/>
    <sheet name="Movimentação" sheetId="2" r:id="rId2"/>
    <sheet name="Relatório" sheetId="3" r:id="rId3"/>
  </sheets>
  <definedNames>
    <definedName name="_xlnm._FilterDatabase" localSheetId="0" hidden="1">Estoque_Cadastro!$A$1:$I$100</definedName>
    <definedName name="_xlnm._FilterDatabase" localSheetId="1" hidden="1">Movimentação!$A$1:$G$500</definedName>
    <definedName name="_xlnm._FilterDatabase" localSheetId="2" hidden="1">Relatório!$A$1:$D$97</definedName>
    <definedName name="Slicer_COLEGA">#N/A</definedName>
    <definedName name="Slicer_MÊS">#N/A</definedName>
    <definedName name="Slicer_MÊS1">#N/A</definedName>
    <definedName name="Slicer_PRODUTO">#N/A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4"/>
        <x14:slicerCache r:id="rId5"/>
        <x14:slicerCache r:id="rId6"/>
        <x14:slicerCache r:id="rId7"/>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a="1"/>
  <c r="D4" i="3" s="1"/>
  <c r="C3" i="3"/>
  <c r="A5" i="3" a="1"/>
  <c r="A5" i="3" s="1"/>
  <c r="B5" i="3" s="1"/>
  <c r="A6" i="3" a="1"/>
  <c r="A6" i="3" s="1"/>
  <c r="A7" i="3" a="1"/>
  <c r="A7" i="3" s="1"/>
  <c r="D7" i="3" s="1" a="1"/>
  <c r="D7" i="3" s="1"/>
  <c r="A8" i="3" a="1"/>
  <c r="A8" i="3" s="1"/>
  <c r="D8" i="3" s="1" a="1"/>
  <c r="D8" i="3" s="1"/>
  <c r="A9" i="3" a="1"/>
  <c r="A9" i="3" s="1"/>
  <c r="B9" i="3" s="1"/>
  <c r="A10" i="3" a="1"/>
  <c r="A10" i="3" s="1"/>
  <c r="B10" i="3" s="1"/>
  <c r="A11" i="3" a="1"/>
  <c r="A11" i="3" s="1"/>
  <c r="B11" i="3" s="1"/>
  <c r="A12" i="3" a="1"/>
  <c r="A12" i="3" s="1"/>
  <c r="D12" i="3" s="1" a="1"/>
  <c r="D12" i="3" s="1"/>
  <c r="A13" i="3" a="1"/>
  <c r="A13" i="3" s="1"/>
  <c r="D13" i="3" s="1" a="1"/>
  <c r="D13" i="3" s="1"/>
  <c r="A14" i="3" a="1"/>
  <c r="A14" i="3" s="1"/>
  <c r="A15" i="3" a="1"/>
  <c r="A15" i="3" s="1"/>
  <c r="A16" i="3" a="1"/>
  <c r="A16" i="3" s="1"/>
  <c r="D16" i="3" s="1" a="1"/>
  <c r="D16" i="3" s="1"/>
  <c r="A17" i="3" a="1"/>
  <c r="A17" i="3" s="1"/>
  <c r="B17" i="3" s="1"/>
  <c r="A18" i="3" a="1"/>
  <c r="A18" i="3" s="1"/>
  <c r="B18" i="3" s="1"/>
  <c r="A19" i="3" a="1"/>
  <c r="A19" i="3" s="1"/>
  <c r="D19" i="3" s="1" a="1"/>
  <c r="D19" i="3" s="1"/>
  <c r="A20" i="3" a="1"/>
  <c r="A20" i="3" s="1"/>
  <c r="D20" i="3" s="1" a="1"/>
  <c r="D20" i="3" s="1"/>
  <c r="A21" i="3" a="1"/>
  <c r="A21" i="3" s="1"/>
  <c r="D21" i="3" s="1" a="1"/>
  <c r="D21" i="3" s="1"/>
  <c r="A22" i="3" a="1"/>
  <c r="A22" i="3" s="1"/>
  <c r="D22" i="3" s="1" a="1"/>
  <c r="D22" i="3" s="1"/>
  <c r="A23" i="3" a="1"/>
  <c r="A23" i="3" s="1"/>
  <c r="C23" i="3" s="1"/>
  <c r="A24" i="3" a="1"/>
  <c r="A24" i="3" s="1"/>
  <c r="D24" i="3" s="1" a="1"/>
  <c r="D24" i="3" s="1"/>
  <c r="A25" i="3" a="1"/>
  <c r="A25" i="3" s="1"/>
  <c r="B25" i="3" s="1"/>
  <c r="A26" i="3" a="1"/>
  <c r="A26" i="3" s="1"/>
  <c r="A27" i="3" a="1"/>
  <c r="A27" i="3" s="1"/>
  <c r="D27" i="3" s="1" a="1"/>
  <c r="D27" i="3" s="1"/>
  <c r="A28" i="3" a="1"/>
  <c r="A28" i="3" s="1"/>
  <c r="D28" i="3" s="1" a="1"/>
  <c r="D28" i="3" s="1"/>
  <c r="A29" i="3" a="1"/>
  <c r="A29" i="3" s="1"/>
  <c r="A30" i="3" a="1"/>
  <c r="A30" i="3" s="1"/>
  <c r="A31" i="3" a="1"/>
  <c r="A31" i="3" s="1"/>
  <c r="D31" i="3" s="1" a="1"/>
  <c r="D31" i="3" s="1"/>
  <c r="A32" i="3" a="1"/>
  <c r="A32" i="3" s="1"/>
  <c r="D32" i="3" s="1" a="1"/>
  <c r="D32" i="3" s="1"/>
  <c r="A33" i="3" a="1"/>
  <c r="A33" i="3" s="1"/>
  <c r="B33" i="3" s="1"/>
  <c r="A34" i="3" a="1"/>
  <c r="A34" i="3" s="1"/>
  <c r="A35" i="3" a="1"/>
  <c r="A35" i="3" s="1"/>
  <c r="D35" i="3" s="1" a="1"/>
  <c r="D35" i="3" s="1"/>
  <c r="A36" i="3" a="1"/>
  <c r="A36" i="3" s="1"/>
  <c r="D36" i="3" s="1" a="1"/>
  <c r="D36" i="3" s="1"/>
  <c r="A37" i="3" a="1"/>
  <c r="A37" i="3" s="1"/>
  <c r="D37" i="3" s="1" a="1"/>
  <c r="D37" i="3" s="1"/>
  <c r="A38" i="3" a="1"/>
  <c r="A38" i="3" s="1"/>
  <c r="A39" i="3" a="1"/>
  <c r="A39" i="3" s="1"/>
  <c r="A40" i="3" a="1"/>
  <c r="A40" i="3" s="1"/>
  <c r="D40" i="3" s="1" a="1"/>
  <c r="D40" i="3" s="1"/>
  <c r="A41" i="3" a="1"/>
  <c r="A41" i="3" s="1"/>
  <c r="C41" i="3" s="1"/>
  <c r="A42" i="3" a="1"/>
  <c r="A42" i="3" s="1"/>
  <c r="D42" i="3" s="1" a="1"/>
  <c r="D42" i="3" s="1"/>
  <c r="A43" i="3" a="1"/>
  <c r="A43" i="3" s="1"/>
  <c r="B43" i="3" s="1"/>
  <c r="A44" i="3" a="1"/>
  <c r="A44" i="3" s="1"/>
  <c r="D44" i="3" s="1" a="1"/>
  <c r="D44" i="3" s="1"/>
  <c r="A45" i="3" a="1"/>
  <c r="A45" i="3" s="1"/>
  <c r="B45" i="3" s="1"/>
  <c r="A46" i="3" a="1"/>
  <c r="A46" i="3" s="1"/>
  <c r="B46" i="3" s="1"/>
  <c r="A47" i="3" a="1"/>
  <c r="A47" i="3" s="1"/>
  <c r="A48" i="3" a="1"/>
  <c r="A48" i="3" s="1"/>
  <c r="A49" i="3" a="1"/>
  <c r="A49" i="3" s="1"/>
  <c r="C49" i="3" s="1"/>
  <c r="A50" i="3" a="1"/>
  <c r="A50" i="3" s="1"/>
  <c r="D50" i="3" s="1" a="1"/>
  <c r="D50" i="3" s="1"/>
  <c r="A51" i="3" a="1"/>
  <c r="A51" i="3" s="1"/>
  <c r="D51" i="3" s="1" a="1"/>
  <c r="D51" i="3" s="1"/>
  <c r="A52" i="3" a="1"/>
  <c r="A52" i="3" s="1"/>
  <c r="D52" i="3" s="1" a="1"/>
  <c r="D52" i="3" s="1"/>
  <c r="A53" i="3" a="1"/>
  <c r="A53" i="3" s="1"/>
  <c r="A54" i="3" a="1"/>
  <c r="A54" i="3" s="1"/>
  <c r="D54" i="3" s="1" a="1"/>
  <c r="D54" i="3" s="1"/>
  <c r="A55" i="3" a="1"/>
  <c r="A55" i="3" s="1"/>
  <c r="D55" i="3" s="1" a="1"/>
  <c r="D55" i="3" s="1"/>
  <c r="A56" i="3" a="1"/>
  <c r="A56" i="3" s="1"/>
  <c r="A57" i="3" a="1"/>
  <c r="A57" i="3" s="1"/>
  <c r="B57" i="3" s="1"/>
  <c r="A58" i="3" a="1"/>
  <c r="A58" i="3" s="1"/>
  <c r="D58" i="3" s="1" a="1"/>
  <c r="D58" i="3" s="1"/>
  <c r="A59" i="3" a="1"/>
  <c r="A59" i="3" s="1"/>
  <c r="B59" i="3" s="1"/>
  <c r="A60" i="3" a="1"/>
  <c r="A60" i="3" s="1"/>
  <c r="D60" i="3" s="1" a="1"/>
  <c r="D60" i="3" s="1"/>
  <c r="A61" i="3" a="1"/>
  <c r="A61" i="3" s="1"/>
  <c r="D61" i="3" s="1" a="1"/>
  <c r="D61" i="3" s="1"/>
  <c r="A62" i="3" a="1"/>
  <c r="A62" i="3" s="1"/>
  <c r="D62" i="3" s="1" a="1"/>
  <c r="D62" i="3" s="1"/>
  <c r="A63" i="3" a="1"/>
  <c r="A63" i="3" s="1"/>
  <c r="D63" i="3" s="1" a="1"/>
  <c r="D63" i="3" s="1"/>
  <c r="A64" i="3" a="1"/>
  <c r="A64" i="3" s="1"/>
  <c r="A65" i="3" a="1"/>
  <c r="A65" i="3" s="1"/>
  <c r="D65" i="3" s="1" a="1"/>
  <c r="D65" i="3" s="1"/>
  <c r="A66" i="3" a="1"/>
  <c r="A66" i="3" s="1"/>
  <c r="A67" i="3" a="1"/>
  <c r="A67" i="3" s="1"/>
  <c r="D67" i="3" s="1" a="1"/>
  <c r="D67" i="3" s="1"/>
  <c r="A68" i="3" a="1"/>
  <c r="A68" i="3" s="1"/>
  <c r="D68" i="3" s="1" a="1"/>
  <c r="D68" i="3" s="1"/>
  <c r="A69" i="3" a="1"/>
  <c r="A69" i="3" s="1"/>
  <c r="D69" i="3" s="1" a="1"/>
  <c r="D69" i="3" s="1"/>
  <c r="A70" i="3" a="1"/>
  <c r="A70" i="3" s="1"/>
  <c r="C70" i="3" s="1"/>
  <c r="A71" i="3" a="1"/>
  <c r="A71" i="3" s="1"/>
  <c r="D71" i="3" s="1" a="1"/>
  <c r="D71" i="3" s="1"/>
  <c r="A72" i="3" a="1"/>
  <c r="A72" i="3" s="1"/>
  <c r="B72" i="3" s="1"/>
  <c r="A73" i="3" a="1"/>
  <c r="A73" i="3" s="1"/>
  <c r="D73" i="3" s="1" a="1"/>
  <c r="D73" i="3" s="1"/>
  <c r="A74" i="3" a="1"/>
  <c r="A74" i="3" s="1"/>
  <c r="C74" i="3" s="1"/>
  <c r="A75" i="3" a="1"/>
  <c r="A75" i="3" s="1"/>
  <c r="B75" i="3" s="1"/>
  <c r="A76" i="3" a="1"/>
  <c r="A76" i="3" s="1"/>
  <c r="D76" i="3" s="1" a="1"/>
  <c r="D76" i="3" s="1"/>
  <c r="A77" i="3" a="1"/>
  <c r="A77" i="3" s="1"/>
  <c r="B77" i="3" s="1"/>
  <c r="A78" i="3" a="1"/>
  <c r="A78" i="3" s="1"/>
  <c r="D78" i="3" s="1" a="1"/>
  <c r="D78" i="3" s="1"/>
  <c r="A79" i="3" a="1"/>
  <c r="A79" i="3" s="1"/>
  <c r="D79" i="3" s="1" a="1"/>
  <c r="D79" i="3" s="1"/>
  <c r="A80" i="3" a="1"/>
  <c r="A80" i="3" s="1"/>
  <c r="C80" i="3" s="1"/>
  <c r="A81" i="3" a="1"/>
  <c r="A81" i="3" s="1"/>
  <c r="B81" i="3" s="1"/>
  <c r="A82" i="3" a="1"/>
  <c r="A82" i="3" s="1"/>
  <c r="A83" i="3" a="1"/>
  <c r="A83" i="3" s="1"/>
  <c r="D83" i="3" s="1" a="1"/>
  <c r="D83" i="3" s="1"/>
  <c r="A84" i="3" a="1"/>
  <c r="A84" i="3" s="1"/>
  <c r="D84" i="3" s="1" a="1"/>
  <c r="D84" i="3" s="1"/>
  <c r="A85" i="3" a="1"/>
  <c r="A85" i="3" s="1"/>
  <c r="C85" i="3" s="1"/>
  <c r="A86" i="3" a="1"/>
  <c r="A86" i="3" s="1"/>
  <c r="D86" i="3" s="1" a="1"/>
  <c r="D86" i="3" s="1"/>
  <c r="A87" i="3" a="1"/>
  <c r="A87" i="3" s="1"/>
  <c r="C87" i="3" s="1"/>
  <c r="A88" i="3" a="1"/>
  <c r="A88" i="3" s="1"/>
  <c r="B88" i="3" s="1"/>
  <c r="A89" i="3" a="1"/>
  <c r="A89" i="3" s="1"/>
  <c r="B89" i="3" s="1"/>
  <c r="A90" i="3" a="1"/>
  <c r="A90" i="3" s="1"/>
  <c r="B90" i="3" s="1"/>
  <c r="A91" i="3" a="1"/>
  <c r="A91" i="3" s="1"/>
  <c r="C91" i="3" s="1"/>
  <c r="A92" i="3" a="1"/>
  <c r="A92" i="3" s="1"/>
  <c r="D92" i="3" s="1" a="1"/>
  <c r="D92" i="3" s="1"/>
  <c r="A93" i="3" a="1"/>
  <c r="A93" i="3" s="1"/>
  <c r="B93" i="3" s="1"/>
  <c r="A94" i="3" a="1"/>
  <c r="A94" i="3" s="1"/>
  <c r="D94" i="3" s="1" a="1"/>
  <c r="D94" i="3" s="1"/>
  <c r="A95" i="3" a="1"/>
  <c r="A95" i="3" s="1"/>
  <c r="D95" i="3" s="1" a="1"/>
  <c r="D95" i="3" s="1"/>
  <c r="A96" i="3" a="1"/>
  <c r="A96" i="3" s="1"/>
  <c r="D96" i="3" s="1" a="1"/>
  <c r="D96" i="3" s="1"/>
  <c r="A97" i="3" a="1"/>
  <c r="A97" i="3" s="1"/>
  <c r="D97" i="3" s="1" a="1"/>
  <c r="D97" i="3" s="1"/>
  <c r="C11" i="3"/>
  <c r="C27" i="3"/>
  <c r="C57" i="3"/>
  <c r="B47" i="3"/>
  <c r="C13" i="3"/>
  <c r="C7" i="3"/>
  <c r="B7" i="3"/>
  <c r="C2" i="3"/>
  <c r="G500" i="2"/>
  <c r="B500" i="2"/>
  <c r="G499" i="2"/>
  <c r="B499" i="2"/>
  <c r="G498" i="2"/>
  <c r="B498" i="2"/>
  <c r="G497" i="2"/>
  <c r="B497" i="2"/>
  <c r="G496" i="2"/>
  <c r="B496" i="2"/>
  <c r="G495" i="2"/>
  <c r="B495" i="2"/>
  <c r="G494" i="2"/>
  <c r="B494" i="2"/>
  <c r="G493" i="2"/>
  <c r="B493" i="2"/>
  <c r="G492" i="2"/>
  <c r="B492" i="2"/>
  <c r="G491" i="2"/>
  <c r="B491" i="2"/>
  <c r="G490" i="2"/>
  <c r="B490" i="2"/>
  <c r="G489" i="2"/>
  <c r="B489" i="2"/>
  <c r="G488" i="2"/>
  <c r="B488" i="2"/>
  <c r="G487" i="2"/>
  <c r="B487" i="2"/>
  <c r="G486" i="2"/>
  <c r="B486" i="2"/>
  <c r="G485" i="2"/>
  <c r="B485" i="2"/>
  <c r="G484" i="2"/>
  <c r="B484" i="2"/>
  <c r="G483" i="2"/>
  <c r="B483" i="2"/>
  <c r="G482" i="2"/>
  <c r="B482" i="2"/>
  <c r="G481" i="2"/>
  <c r="B481" i="2"/>
  <c r="G480" i="2"/>
  <c r="B480" i="2"/>
  <c r="G479" i="2"/>
  <c r="B479" i="2"/>
  <c r="G478" i="2"/>
  <c r="B478" i="2"/>
  <c r="G477" i="2"/>
  <c r="B477" i="2"/>
  <c r="G476" i="2"/>
  <c r="B476" i="2"/>
  <c r="G475" i="2"/>
  <c r="B475" i="2"/>
  <c r="G474" i="2"/>
  <c r="B474" i="2"/>
  <c r="G473" i="2"/>
  <c r="B473" i="2"/>
  <c r="G472" i="2"/>
  <c r="B472" i="2"/>
  <c r="G471" i="2"/>
  <c r="B471" i="2"/>
  <c r="G470" i="2"/>
  <c r="B470" i="2"/>
  <c r="G469" i="2"/>
  <c r="B469" i="2"/>
  <c r="G468" i="2"/>
  <c r="B468" i="2"/>
  <c r="G467" i="2"/>
  <c r="B467" i="2"/>
  <c r="G466" i="2"/>
  <c r="B466" i="2"/>
  <c r="G465" i="2"/>
  <c r="B465" i="2"/>
  <c r="G464" i="2"/>
  <c r="B464" i="2"/>
  <c r="G463" i="2"/>
  <c r="B463" i="2"/>
  <c r="G462" i="2"/>
  <c r="B462" i="2"/>
  <c r="G461" i="2"/>
  <c r="B461" i="2"/>
  <c r="G460" i="2"/>
  <c r="B460" i="2"/>
  <c r="G459" i="2"/>
  <c r="B459" i="2"/>
  <c r="G458" i="2"/>
  <c r="B458" i="2"/>
  <c r="G457" i="2"/>
  <c r="B457" i="2"/>
  <c r="G456" i="2"/>
  <c r="B456" i="2"/>
  <c r="G455" i="2"/>
  <c r="B455" i="2"/>
  <c r="G454" i="2"/>
  <c r="B454" i="2"/>
  <c r="G453" i="2"/>
  <c r="B453" i="2"/>
  <c r="G452" i="2"/>
  <c r="B452" i="2"/>
  <c r="G451" i="2"/>
  <c r="B451" i="2"/>
  <c r="G450" i="2"/>
  <c r="B450" i="2"/>
  <c r="G449" i="2"/>
  <c r="B449" i="2"/>
  <c r="G448" i="2"/>
  <c r="B448" i="2"/>
  <c r="G447" i="2"/>
  <c r="B447" i="2"/>
  <c r="G446" i="2"/>
  <c r="B446" i="2"/>
  <c r="G445" i="2"/>
  <c r="B445" i="2"/>
  <c r="G444" i="2"/>
  <c r="B444" i="2"/>
  <c r="G443" i="2"/>
  <c r="B443" i="2"/>
  <c r="G442" i="2"/>
  <c r="B442" i="2"/>
  <c r="G441" i="2"/>
  <c r="B441" i="2"/>
  <c r="G440" i="2"/>
  <c r="B440" i="2"/>
  <c r="G439" i="2"/>
  <c r="B439" i="2"/>
  <c r="G438" i="2"/>
  <c r="B438" i="2"/>
  <c r="G437" i="2"/>
  <c r="B437" i="2"/>
  <c r="G436" i="2"/>
  <c r="B436" i="2"/>
  <c r="G435" i="2"/>
  <c r="B435" i="2"/>
  <c r="G434" i="2"/>
  <c r="B434" i="2"/>
  <c r="G433" i="2"/>
  <c r="B433" i="2"/>
  <c r="G432" i="2"/>
  <c r="B432" i="2"/>
  <c r="G431" i="2"/>
  <c r="B431" i="2"/>
  <c r="G430" i="2"/>
  <c r="B430" i="2"/>
  <c r="G429" i="2"/>
  <c r="B429" i="2"/>
  <c r="G428" i="2"/>
  <c r="B428" i="2"/>
  <c r="G427" i="2"/>
  <c r="B427" i="2"/>
  <c r="G426" i="2"/>
  <c r="B426" i="2"/>
  <c r="G425" i="2"/>
  <c r="B425" i="2"/>
  <c r="G424" i="2"/>
  <c r="B424" i="2"/>
  <c r="G423" i="2"/>
  <c r="B423" i="2"/>
  <c r="G422" i="2"/>
  <c r="B422" i="2"/>
  <c r="G421" i="2"/>
  <c r="B421" i="2"/>
  <c r="G420" i="2"/>
  <c r="B420" i="2"/>
  <c r="G419" i="2"/>
  <c r="B419" i="2"/>
  <c r="G418" i="2"/>
  <c r="B418" i="2"/>
  <c r="G417" i="2"/>
  <c r="B417" i="2"/>
  <c r="G416" i="2"/>
  <c r="B416" i="2"/>
  <c r="G415" i="2"/>
  <c r="B415" i="2"/>
  <c r="G414" i="2"/>
  <c r="B414" i="2"/>
  <c r="G413" i="2"/>
  <c r="B413" i="2"/>
  <c r="G412" i="2"/>
  <c r="B412" i="2"/>
  <c r="G411" i="2"/>
  <c r="B411" i="2"/>
  <c r="G410" i="2"/>
  <c r="B410" i="2"/>
  <c r="G409" i="2"/>
  <c r="B409" i="2"/>
  <c r="G408" i="2"/>
  <c r="B408" i="2"/>
  <c r="G407" i="2"/>
  <c r="B407" i="2"/>
  <c r="G406" i="2"/>
  <c r="B406" i="2"/>
  <c r="G405" i="2"/>
  <c r="B405" i="2"/>
  <c r="G404" i="2"/>
  <c r="B404" i="2"/>
  <c r="G403" i="2"/>
  <c r="B403" i="2"/>
  <c r="G402" i="2"/>
  <c r="B402" i="2"/>
  <c r="G401" i="2"/>
  <c r="B401" i="2"/>
  <c r="G400" i="2"/>
  <c r="B400" i="2"/>
  <c r="G399" i="2"/>
  <c r="B399" i="2"/>
  <c r="G398" i="2"/>
  <c r="B398" i="2"/>
  <c r="G397" i="2"/>
  <c r="B397" i="2"/>
  <c r="G396" i="2"/>
  <c r="B396" i="2"/>
  <c r="G395" i="2"/>
  <c r="B395" i="2"/>
  <c r="G394" i="2"/>
  <c r="B394" i="2"/>
  <c r="G393" i="2"/>
  <c r="B393" i="2"/>
  <c r="G392" i="2"/>
  <c r="B392" i="2"/>
  <c r="G391" i="2"/>
  <c r="B391" i="2"/>
  <c r="G390" i="2"/>
  <c r="B390" i="2"/>
  <c r="G389" i="2"/>
  <c r="B389" i="2"/>
  <c r="G388" i="2"/>
  <c r="B388" i="2"/>
  <c r="G387" i="2"/>
  <c r="B387" i="2"/>
  <c r="G386" i="2"/>
  <c r="B386" i="2"/>
  <c r="G385" i="2"/>
  <c r="B385" i="2"/>
  <c r="G384" i="2"/>
  <c r="B384" i="2"/>
  <c r="G383" i="2"/>
  <c r="B383" i="2"/>
  <c r="G382" i="2"/>
  <c r="B382" i="2"/>
  <c r="G381" i="2"/>
  <c r="B381" i="2"/>
  <c r="G380" i="2"/>
  <c r="B380" i="2"/>
  <c r="G379" i="2"/>
  <c r="B379" i="2"/>
  <c r="G378" i="2"/>
  <c r="B378" i="2"/>
  <c r="G377" i="2"/>
  <c r="B377" i="2"/>
  <c r="G376" i="2"/>
  <c r="B376" i="2"/>
  <c r="G375" i="2"/>
  <c r="B375" i="2"/>
  <c r="G374" i="2"/>
  <c r="B374" i="2"/>
  <c r="G373" i="2"/>
  <c r="B373" i="2"/>
  <c r="G372" i="2"/>
  <c r="B372" i="2"/>
  <c r="G371" i="2"/>
  <c r="B371" i="2"/>
  <c r="G370" i="2"/>
  <c r="B370" i="2"/>
  <c r="G369" i="2"/>
  <c r="B369" i="2"/>
  <c r="G368" i="2"/>
  <c r="B368" i="2"/>
  <c r="G367" i="2"/>
  <c r="B367" i="2"/>
  <c r="G366" i="2"/>
  <c r="B366" i="2"/>
  <c r="G365" i="2"/>
  <c r="B365" i="2"/>
  <c r="G364" i="2"/>
  <c r="B364" i="2"/>
  <c r="G363" i="2"/>
  <c r="B363" i="2"/>
  <c r="G362" i="2"/>
  <c r="B362" i="2"/>
  <c r="G361" i="2"/>
  <c r="B361" i="2"/>
  <c r="G360" i="2"/>
  <c r="B360" i="2"/>
  <c r="G359" i="2"/>
  <c r="B359" i="2"/>
  <c r="G358" i="2"/>
  <c r="B358" i="2"/>
  <c r="G357" i="2"/>
  <c r="B357" i="2"/>
  <c r="G356" i="2"/>
  <c r="B356" i="2"/>
  <c r="G355" i="2"/>
  <c r="B355" i="2"/>
  <c r="G354" i="2"/>
  <c r="B354" i="2"/>
  <c r="G353" i="2"/>
  <c r="B353" i="2"/>
  <c r="G352" i="2"/>
  <c r="B352" i="2"/>
  <c r="G351" i="2"/>
  <c r="B351" i="2"/>
  <c r="G350" i="2"/>
  <c r="B350" i="2"/>
  <c r="G349" i="2"/>
  <c r="B349" i="2"/>
  <c r="G348" i="2"/>
  <c r="B348" i="2"/>
  <c r="G347" i="2"/>
  <c r="B347" i="2"/>
  <c r="G346" i="2"/>
  <c r="B346" i="2"/>
  <c r="G345" i="2"/>
  <c r="B345" i="2"/>
  <c r="G344" i="2"/>
  <c r="B344" i="2"/>
  <c r="G343" i="2"/>
  <c r="B343" i="2"/>
  <c r="G342" i="2"/>
  <c r="B342" i="2"/>
  <c r="G341" i="2"/>
  <c r="B341" i="2"/>
  <c r="G340" i="2"/>
  <c r="B340" i="2"/>
  <c r="G339" i="2"/>
  <c r="B339" i="2"/>
  <c r="G338" i="2"/>
  <c r="B338" i="2"/>
  <c r="G337" i="2"/>
  <c r="B337" i="2"/>
  <c r="G336" i="2"/>
  <c r="B336" i="2"/>
  <c r="G335" i="2"/>
  <c r="B335" i="2"/>
  <c r="G334" i="2"/>
  <c r="B334" i="2"/>
  <c r="G333" i="2"/>
  <c r="B333" i="2"/>
  <c r="G332" i="2"/>
  <c r="B332" i="2"/>
  <c r="G331" i="2"/>
  <c r="B331" i="2"/>
  <c r="G330" i="2"/>
  <c r="B330" i="2"/>
  <c r="G329" i="2"/>
  <c r="B329" i="2"/>
  <c r="G328" i="2"/>
  <c r="B328" i="2"/>
  <c r="G327" i="2"/>
  <c r="B327" i="2"/>
  <c r="G326" i="2"/>
  <c r="B326" i="2"/>
  <c r="G325" i="2"/>
  <c r="B325" i="2"/>
  <c r="G324" i="2"/>
  <c r="B324" i="2"/>
  <c r="G323" i="2"/>
  <c r="B323" i="2"/>
  <c r="G322" i="2"/>
  <c r="B322" i="2"/>
  <c r="G321" i="2"/>
  <c r="B321" i="2"/>
  <c r="G320" i="2"/>
  <c r="B320" i="2"/>
  <c r="G319" i="2"/>
  <c r="B319" i="2"/>
  <c r="G318" i="2"/>
  <c r="B318" i="2"/>
  <c r="G317" i="2"/>
  <c r="B317" i="2"/>
  <c r="G316" i="2"/>
  <c r="B316" i="2"/>
  <c r="G315" i="2"/>
  <c r="B315" i="2"/>
  <c r="G314" i="2"/>
  <c r="B314" i="2"/>
  <c r="G313" i="2"/>
  <c r="B313" i="2"/>
  <c r="G312" i="2"/>
  <c r="B312" i="2"/>
  <c r="G311" i="2"/>
  <c r="B311" i="2"/>
  <c r="G310" i="2"/>
  <c r="B310" i="2"/>
  <c r="G309" i="2"/>
  <c r="B309" i="2"/>
  <c r="G308" i="2"/>
  <c r="B308" i="2"/>
  <c r="G307" i="2"/>
  <c r="B307" i="2"/>
  <c r="G306" i="2"/>
  <c r="B306" i="2"/>
  <c r="G305" i="2"/>
  <c r="B305" i="2"/>
  <c r="G304" i="2"/>
  <c r="B304" i="2"/>
  <c r="G303" i="2"/>
  <c r="B303" i="2"/>
  <c r="G302" i="2"/>
  <c r="B302" i="2"/>
  <c r="G301" i="2"/>
  <c r="B301" i="2"/>
  <c r="G300" i="2"/>
  <c r="B300" i="2"/>
  <c r="G299" i="2"/>
  <c r="B299" i="2"/>
  <c r="G298" i="2"/>
  <c r="B298" i="2"/>
  <c r="G297" i="2"/>
  <c r="B297" i="2"/>
  <c r="G296" i="2"/>
  <c r="B296" i="2"/>
  <c r="G295" i="2"/>
  <c r="B295" i="2"/>
  <c r="G294" i="2"/>
  <c r="B294" i="2"/>
  <c r="G293" i="2"/>
  <c r="B293" i="2"/>
  <c r="G292" i="2"/>
  <c r="B292" i="2"/>
  <c r="G291" i="2"/>
  <c r="B291" i="2"/>
  <c r="G290" i="2"/>
  <c r="B290" i="2"/>
  <c r="G289" i="2"/>
  <c r="B289" i="2"/>
  <c r="G288" i="2"/>
  <c r="B288" i="2"/>
  <c r="G287" i="2"/>
  <c r="B287" i="2"/>
  <c r="G286" i="2"/>
  <c r="B286" i="2"/>
  <c r="G285" i="2"/>
  <c r="B285" i="2"/>
  <c r="G284" i="2"/>
  <c r="B284" i="2"/>
  <c r="G283" i="2"/>
  <c r="B283" i="2"/>
  <c r="G282" i="2"/>
  <c r="B282" i="2"/>
  <c r="G281" i="2"/>
  <c r="B281" i="2"/>
  <c r="G280" i="2"/>
  <c r="B280" i="2"/>
  <c r="G279" i="2"/>
  <c r="B279" i="2"/>
  <c r="G278" i="2"/>
  <c r="B278" i="2"/>
  <c r="G277" i="2"/>
  <c r="B277" i="2"/>
  <c r="G276" i="2"/>
  <c r="B276" i="2"/>
  <c r="G275" i="2"/>
  <c r="B275" i="2"/>
  <c r="G274" i="2"/>
  <c r="B274" i="2"/>
  <c r="G273" i="2"/>
  <c r="B273" i="2"/>
  <c r="G272" i="2"/>
  <c r="B272" i="2"/>
  <c r="G271" i="2"/>
  <c r="B271" i="2"/>
  <c r="G270" i="2"/>
  <c r="B270" i="2"/>
  <c r="G269" i="2"/>
  <c r="B269" i="2"/>
  <c r="G268" i="2"/>
  <c r="B268" i="2"/>
  <c r="G267" i="2"/>
  <c r="B267" i="2"/>
  <c r="G266" i="2"/>
  <c r="B266" i="2"/>
  <c r="G265" i="2"/>
  <c r="B265" i="2"/>
  <c r="G264" i="2"/>
  <c r="B264" i="2"/>
  <c r="G263" i="2"/>
  <c r="B263" i="2"/>
  <c r="G262" i="2"/>
  <c r="B262" i="2"/>
  <c r="G261" i="2"/>
  <c r="B261" i="2"/>
  <c r="G260" i="2"/>
  <c r="B260" i="2"/>
  <c r="G259" i="2"/>
  <c r="B259" i="2"/>
  <c r="G258" i="2"/>
  <c r="B258" i="2"/>
  <c r="G257" i="2"/>
  <c r="B257" i="2"/>
  <c r="G256" i="2"/>
  <c r="B256" i="2"/>
  <c r="G255" i="2"/>
  <c r="B255" i="2"/>
  <c r="G254" i="2"/>
  <c r="B254" i="2"/>
  <c r="G253" i="2"/>
  <c r="B253" i="2"/>
  <c r="G252" i="2"/>
  <c r="B252" i="2"/>
  <c r="G251" i="2"/>
  <c r="B251" i="2"/>
  <c r="G250" i="2"/>
  <c r="B250" i="2"/>
  <c r="G249" i="2"/>
  <c r="B249" i="2"/>
  <c r="G248" i="2"/>
  <c r="B248" i="2"/>
  <c r="G247" i="2"/>
  <c r="B247" i="2"/>
  <c r="G246" i="2"/>
  <c r="B246" i="2"/>
  <c r="G245" i="2"/>
  <c r="B245" i="2"/>
  <c r="G244" i="2"/>
  <c r="B244" i="2"/>
  <c r="G243" i="2"/>
  <c r="B243" i="2"/>
  <c r="G242" i="2"/>
  <c r="B242" i="2"/>
  <c r="G241" i="2"/>
  <c r="B241" i="2"/>
  <c r="G240" i="2"/>
  <c r="B240" i="2"/>
  <c r="G239" i="2"/>
  <c r="B239" i="2"/>
  <c r="G238" i="2"/>
  <c r="B238" i="2"/>
  <c r="G237" i="2"/>
  <c r="B237" i="2"/>
  <c r="G236" i="2"/>
  <c r="B236" i="2"/>
  <c r="G235" i="2"/>
  <c r="B235" i="2"/>
  <c r="G234" i="2"/>
  <c r="B234" i="2"/>
  <c r="G233" i="2"/>
  <c r="B233" i="2"/>
  <c r="G232" i="2"/>
  <c r="B232" i="2"/>
  <c r="G231" i="2"/>
  <c r="B231" i="2"/>
  <c r="G230" i="2"/>
  <c r="B230" i="2"/>
  <c r="G229" i="2"/>
  <c r="B229" i="2"/>
  <c r="G228" i="2"/>
  <c r="B228" i="2"/>
  <c r="G227" i="2"/>
  <c r="B227" i="2"/>
  <c r="G226" i="2"/>
  <c r="B226" i="2"/>
  <c r="G225" i="2"/>
  <c r="B225" i="2"/>
  <c r="G224" i="2"/>
  <c r="B224" i="2"/>
  <c r="G223" i="2"/>
  <c r="B223" i="2"/>
  <c r="G222" i="2"/>
  <c r="B222" i="2"/>
  <c r="G221" i="2"/>
  <c r="B221" i="2"/>
  <c r="G220" i="2"/>
  <c r="B220" i="2"/>
  <c r="G219" i="2"/>
  <c r="B219" i="2"/>
  <c r="G218" i="2"/>
  <c r="B218" i="2"/>
  <c r="G217" i="2"/>
  <c r="B217" i="2"/>
  <c r="G216" i="2"/>
  <c r="B216" i="2"/>
  <c r="G215" i="2"/>
  <c r="B215" i="2"/>
  <c r="G214" i="2"/>
  <c r="B214" i="2"/>
  <c r="G213" i="2"/>
  <c r="B213" i="2"/>
  <c r="G212" i="2"/>
  <c r="B212" i="2"/>
  <c r="G211" i="2"/>
  <c r="B211" i="2"/>
  <c r="G210" i="2"/>
  <c r="B210" i="2"/>
  <c r="G209" i="2"/>
  <c r="B209" i="2"/>
  <c r="G208" i="2"/>
  <c r="B208" i="2"/>
  <c r="G207" i="2"/>
  <c r="B207" i="2"/>
  <c r="G206" i="2"/>
  <c r="B206" i="2"/>
  <c r="G205" i="2"/>
  <c r="B205" i="2"/>
  <c r="G204" i="2"/>
  <c r="B204" i="2"/>
  <c r="G203" i="2"/>
  <c r="B203" i="2"/>
  <c r="G202" i="2"/>
  <c r="B202" i="2"/>
  <c r="G201" i="2"/>
  <c r="B201" i="2"/>
  <c r="G200" i="2"/>
  <c r="B200" i="2"/>
  <c r="G199" i="2"/>
  <c r="B199" i="2"/>
  <c r="G198" i="2"/>
  <c r="B198" i="2"/>
  <c r="G197" i="2"/>
  <c r="B197" i="2"/>
  <c r="G196" i="2"/>
  <c r="B196" i="2"/>
  <c r="G195" i="2"/>
  <c r="B195" i="2"/>
  <c r="G194" i="2"/>
  <c r="B194" i="2"/>
  <c r="G193" i="2"/>
  <c r="B193" i="2"/>
  <c r="G192" i="2"/>
  <c r="B192" i="2"/>
  <c r="G191" i="2"/>
  <c r="B191" i="2"/>
  <c r="G190" i="2"/>
  <c r="B190" i="2"/>
  <c r="G189" i="2"/>
  <c r="B189" i="2"/>
  <c r="G188" i="2"/>
  <c r="B188" i="2"/>
  <c r="G187" i="2"/>
  <c r="B187" i="2"/>
  <c r="G186" i="2"/>
  <c r="B186" i="2"/>
  <c r="G185" i="2"/>
  <c r="B185" i="2"/>
  <c r="G184" i="2"/>
  <c r="B184" i="2"/>
  <c r="G183" i="2"/>
  <c r="B183" i="2"/>
  <c r="G182" i="2"/>
  <c r="B182" i="2"/>
  <c r="G181" i="2"/>
  <c r="B181" i="2"/>
  <c r="G180" i="2"/>
  <c r="B180" i="2"/>
  <c r="G179" i="2"/>
  <c r="B179" i="2"/>
  <c r="G178" i="2"/>
  <c r="B178" i="2"/>
  <c r="G177" i="2"/>
  <c r="B177" i="2"/>
  <c r="G176" i="2"/>
  <c r="B176" i="2"/>
  <c r="G175" i="2"/>
  <c r="B175" i="2"/>
  <c r="G174" i="2"/>
  <c r="B174" i="2"/>
  <c r="G173" i="2"/>
  <c r="B173" i="2"/>
  <c r="G172" i="2"/>
  <c r="B172" i="2"/>
  <c r="G171" i="2"/>
  <c r="B171" i="2"/>
  <c r="G170" i="2"/>
  <c r="B170" i="2"/>
  <c r="G169" i="2"/>
  <c r="B169" i="2"/>
  <c r="G168" i="2"/>
  <c r="B168" i="2"/>
  <c r="G167" i="2"/>
  <c r="B167" i="2"/>
  <c r="G166" i="2"/>
  <c r="B166" i="2"/>
  <c r="G165" i="2"/>
  <c r="B165" i="2"/>
  <c r="G164" i="2"/>
  <c r="B164" i="2"/>
  <c r="G163" i="2"/>
  <c r="B163" i="2"/>
  <c r="G162" i="2"/>
  <c r="B162" i="2"/>
  <c r="G161" i="2"/>
  <c r="B161" i="2"/>
  <c r="G160" i="2"/>
  <c r="B160" i="2"/>
  <c r="G159" i="2"/>
  <c r="B159" i="2"/>
  <c r="G158" i="2"/>
  <c r="B158" i="2"/>
  <c r="G157" i="2"/>
  <c r="B157" i="2"/>
  <c r="G156" i="2"/>
  <c r="B156" i="2"/>
  <c r="G155" i="2"/>
  <c r="B155" i="2"/>
  <c r="G154" i="2"/>
  <c r="B154" i="2"/>
  <c r="G153" i="2"/>
  <c r="B153" i="2"/>
  <c r="G152" i="2"/>
  <c r="B152" i="2"/>
  <c r="G151" i="2"/>
  <c r="B151" i="2"/>
  <c r="G150" i="2"/>
  <c r="B150" i="2"/>
  <c r="G149" i="2"/>
  <c r="B149" i="2"/>
  <c r="G148" i="2"/>
  <c r="B148" i="2"/>
  <c r="G147" i="2"/>
  <c r="B147" i="2"/>
  <c r="G146" i="2"/>
  <c r="B146" i="2"/>
  <c r="G145" i="2"/>
  <c r="B145" i="2"/>
  <c r="G144" i="2"/>
  <c r="B144" i="2"/>
  <c r="G143" i="2"/>
  <c r="B143" i="2"/>
  <c r="G142" i="2"/>
  <c r="B142" i="2"/>
  <c r="G141" i="2"/>
  <c r="B141" i="2"/>
  <c r="G140" i="2"/>
  <c r="B140" i="2"/>
  <c r="G139" i="2"/>
  <c r="B139" i="2"/>
  <c r="G138" i="2"/>
  <c r="B138" i="2"/>
  <c r="G137" i="2"/>
  <c r="B137" i="2"/>
  <c r="G136" i="2"/>
  <c r="B136" i="2"/>
  <c r="G135" i="2"/>
  <c r="B135" i="2"/>
  <c r="G134" i="2"/>
  <c r="B134" i="2"/>
  <c r="G133" i="2"/>
  <c r="B133" i="2"/>
  <c r="G132" i="2"/>
  <c r="B132" i="2"/>
  <c r="G131" i="2"/>
  <c r="B131" i="2"/>
  <c r="G130" i="2"/>
  <c r="B130" i="2"/>
  <c r="G129" i="2"/>
  <c r="B129" i="2"/>
  <c r="G128" i="2"/>
  <c r="B128" i="2"/>
  <c r="G127" i="2"/>
  <c r="B127" i="2"/>
  <c r="G126" i="2"/>
  <c r="B126" i="2"/>
  <c r="G125" i="2"/>
  <c r="B125" i="2"/>
  <c r="G124" i="2"/>
  <c r="B124" i="2"/>
  <c r="G123" i="2"/>
  <c r="B123" i="2"/>
  <c r="G122" i="2"/>
  <c r="B122" i="2"/>
  <c r="G121" i="2"/>
  <c r="B121" i="2"/>
  <c r="G120" i="2"/>
  <c r="B120" i="2"/>
  <c r="G119" i="2"/>
  <c r="B119" i="2"/>
  <c r="G118" i="2"/>
  <c r="B118" i="2"/>
  <c r="G117" i="2"/>
  <c r="B117" i="2"/>
  <c r="G116" i="2"/>
  <c r="B116" i="2"/>
  <c r="G115" i="2"/>
  <c r="B115" i="2"/>
  <c r="G114" i="2"/>
  <c r="B114" i="2"/>
  <c r="G113" i="2"/>
  <c r="B113" i="2"/>
  <c r="G112" i="2"/>
  <c r="B112" i="2"/>
  <c r="G111" i="2"/>
  <c r="B111" i="2"/>
  <c r="G110" i="2"/>
  <c r="B110" i="2"/>
  <c r="G109" i="2"/>
  <c r="B109" i="2"/>
  <c r="G108" i="2"/>
  <c r="B108" i="2"/>
  <c r="G107" i="2"/>
  <c r="B107" i="2"/>
  <c r="G106" i="2"/>
  <c r="B106" i="2"/>
  <c r="G105" i="2"/>
  <c r="B105" i="2"/>
  <c r="G104" i="2"/>
  <c r="B104" i="2"/>
  <c r="G103" i="2"/>
  <c r="B103" i="2"/>
  <c r="G102" i="2"/>
  <c r="B102" i="2"/>
  <c r="G101" i="2"/>
  <c r="B101" i="2"/>
  <c r="G100" i="2"/>
  <c r="B100" i="2"/>
  <c r="G99" i="2"/>
  <c r="B99" i="2"/>
  <c r="G98" i="2"/>
  <c r="B98" i="2"/>
  <c r="G97" i="2"/>
  <c r="B97" i="2"/>
  <c r="G96" i="2"/>
  <c r="B96" i="2"/>
  <c r="G95" i="2"/>
  <c r="B95" i="2"/>
  <c r="G94" i="2"/>
  <c r="B94" i="2"/>
  <c r="G93" i="2"/>
  <c r="B93" i="2"/>
  <c r="G92" i="2"/>
  <c r="B92" i="2"/>
  <c r="G91" i="2"/>
  <c r="B91" i="2"/>
  <c r="G90" i="2"/>
  <c r="B90" i="2"/>
  <c r="G89" i="2"/>
  <c r="B89" i="2"/>
  <c r="G88" i="2"/>
  <c r="B88" i="2"/>
  <c r="G87" i="2"/>
  <c r="B87" i="2"/>
  <c r="G86" i="2"/>
  <c r="B86" i="2"/>
  <c r="G85" i="2"/>
  <c r="B85" i="2"/>
  <c r="G84" i="2"/>
  <c r="B84" i="2"/>
  <c r="G83" i="2"/>
  <c r="B83" i="2"/>
  <c r="G82" i="2"/>
  <c r="B82" i="2"/>
  <c r="G81" i="2"/>
  <c r="B81" i="2"/>
  <c r="G80" i="2"/>
  <c r="B80" i="2"/>
  <c r="G79" i="2"/>
  <c r="B79" i="2"/>
  <c r="G78" i="2"/>
  <c r="B78" i="2"/>
  <c r="G77" i="2"/>
  <c r="B77" i="2"/>
  <c r="G76" i="2"/>
  <c r="B76" i="2"/>
  <c r="G75" i="2"/>
  <c r="B75" i="2"/>
  <c r="G74" i="2"/>
  <c r="B74" i="2"/>
  <c r="G73" i="2"/>
  <c r="B73" i="2"/>
  <c r="G72" i="2"/>
  <c r="B72" i="2"/>
  <c r="G71" i="2"/>
  <c r="B71" i="2"/>
  <c r="G70" i="2"/>
  <c r="B70" i="2"/>
  <c r="G69" i="2"/>
  <c r="B69" i="2"/>
  <c r="G68" i="2"/>
  <c r="B68" i="2"/>
  <c r="G67" i="2"/>
  <c r="B67" i="2"/>
  <c r="G66" i="2"/>
  <c r="B66" i="2"/>
  <c r="G65" i="2"/>
  <c r="B65" i="2"/>
  <c r="G64" i="2"/>
  <c r="B64" i="2"/>
  <c r="G63" i="2"/>
  <c r="B63" i="2"/>
  <c r="G62" i="2"/>
  <c r="B62" i="2"/>
  <c r="G61" i="2"/>
  <c r="B61" i="2"/>
  <c r="G60" i="2"/>
  <c r="B60" i="2"/>
  <c r="G59" i="2"/>
  <c r="B59" i="2"/>
  <c r="G58" i="2"/>
  <c r="B58" i="2"/>
  <c r="G57" i="2"/>
  <c r="B57" i="2"/>
  <c r="G56" i="2"/>
  <c r="B56" i="2"/>
  <c r="G55" i="2"/>
  <c r="B55" i="2"/>
  <c r="G54" i="2"/>
  <c r="B54" i="2"/>
  <c r="G53" i="2"/>
  <c r="B53" i="2"/>
  <c r="G52" i="2"/>
  <c r="B52" i="2"/>
  <c r="G51" i="2"/>
  <c r="B51" i="2"/>
  <c r="G50" i="2"/>
  <c r="B50" i="2"/>
  <c r="G49" i="2"/>
  <c r="B49" i="2"/>
  <c r="G48" i="2"/>
  <c r="B48" i="2"/>
  <c r="G47" i="2"/>
  <c r="B47" i="2"/>
  <c r="G46" i="2"/>
  <c r="B46" i="2"/>
  <c r="G45" i="2"/>
  <c r="B45" i="2"/>
  <c r="G44" i="2"/>
  <c r="B44" i="2"/>
  <c r="G43" i="2"/>
  <c r="B43" i="2"/>
  <c r="G42" i="2"/>
  <c r="B42" i="2"/>
  <c r="G41" i="2"/>
  <c r="B41" i="2"/>
  <c r="G40" i="2"/>
  <c r="B40" i="2"/>
  <c r="G39" i="2"/>
  <c r="B39" i="2"/>
  <c r="G38" i="2"/>
  <c r="B38" i="2"/>
  <c r="G37" i="2"/>
  <c r="B37" i="2"/>
  <c r="G36" i="2"/>
  <c r="B36" i="2"/>
  <c r="G35" i="2"/>
  <c r="B35" i="2"/>
  <c r="G34" i="2"/>
  <c r="B34" i="2"/>
  <c r="G33" i="2"/>
  <c r="B33" i="2"/>
  <c r="G32" i="2"/>
  <c r="B32" i="2"/>
  <c r="G31" i="2"/>
  <c r="B31" i="2"/>
  <c r="G30" i="2"/>
  <c r="B30" i="2"/>
  <c r="G29" i="2"/>
  <c r="B29" i="2"/>
  <c r="G28" i="2"/>
  <c r="B28" i="2"/>
  <c r="G27" i="2"/>
  <c r="B27" i="2"/>
  <c r="G26" i="2"/>
  <c r="B26" i="2"/>
  <c r="G25" i="2"/>
  <c r="B25" i="2"/>
  <c r="G24" i="2"/>
  <c r="B24" i="2"/>
  <c r="G23" i="2"/>
  <c r="B23" i="2"/>
  <c r="G22" i="2"/>
  <c r="B22" i="2"/>
  <c r="G21" i="2"/>
  <c r="B21" i="2"/>
  <c r="G20" i="2"/>
  <c r="B20" i="2"/>
  <c r="G19" i="2"/>
  <c r="B19" i="2"/>
  <c r="G18" i="2"/>
  <c r="B18" i="2"/>
  <c r="G17" i="2"/>
  <c r="B17" i="2"/>
  <c r="G16" i="2"/>
  <c r="B16" i="2"/>
  <c r="G15" i="2"/>
  <c r="B15" i="2"/>
  <c r="G14" i="2"/>
  <c r="B14" i="2"/>
  <c r="G13" i="2"/>
  <c r="B13" i="2"/>
  <c r="G12" i="2"/>
  <c r="B12" i="2"/>
  <c r="G11" i="2"/>
  <c r="B11" i="2"/>
  <c r="G10" i="2"/>
  <c r="B10" i="2"/>
  <c r="G9" i="2"/>
  <c r="B9" i="2"/>
  <c r="G8" i="2"/>
  <c r="B8" i="2"/>
  <c r="G7" i="2"/>
  <c r="B7" i="2"/>
  <c r="G6" i="2"/>
  <c r="B6" i="2"/>
  <c r="G5" i="2"/>
  <c r="B5" i="2"/>
  <c r="G4" i="2"/>
  <c r="B4" i="2"/>
  <c r="G3" i="2"/>
  <c r="B3" i="2"/>
  <c r="G2" i="2"/>
  <c r="G8" i="3" s="1"/>
  <c r="B2" i="2"/>
  <c r="H100" i="1"/>
  <c r="G100" i="1"/>
  <c r="I100" i="1" s="1"/>
  <c r="F100" i="1"/>
  <c r="E100" i="1"/>
  <c r="A100" i="1"/>
  <c r="H99" i="1"/>
  <c r="G99" i="1"/>
  <c r="I99" i="1" s="1"/>
  <c r="F99" i="1"/>
  <c r="E99" i="1"/>
  <c r="A99" i="1"/>
  <c r="H98" i="1"/>
  <c r="G98" i="1"/>
  <c r="I98" i="1" s="1"/>
  <c r="F98" i="1"/>
  <c r="E98" i="1"/>
  <c r="A98" i="1"/>
  <c r="H97" i="1"/>
  <c r="G97" i="1"/>
  <c r="I97" i="1" s="1"/>
  <c r="F97" i="1"/>
  <c r="E97" i="1"/>
  <c r="A97" i="1"/>
  <c r="H96" i="1"/>
  <c r="G96" i="1"/>
  <c r="I96" i="1" s="1"/>
  <c r="F96" i="1"/>
  <c r="E96" i="1"/>
  <c r="A96" i="1"/>
  <c r="H95" i="1"/>
  <c r="G95" i="1"/>
  <c r="I95" i="1" s="1"/>
  <c r="F95" i="1"/>
  <c r="E95" i="1"/>
  <c r="A95" i="1"/>
  <c r="H94" i="1"/>
  <c r="G94" i="1"/>
  <c r="I94" i="1" s="1"/>
  <c r="F94" i="1"/>
  <c r="E94" i="1"/>
  <c r="A94" i="1"/>
  <c r="H93" i="1"/>
  <c r="G93" i="1"/>
  <c r="I93" i="1" s="1"/>
  <c r="F93" i="1"/>
  <c r="E93" i="1"/>
  <c r="A93" i="1"/>
  <c r="H92" i="1"/>
  <c r="G92" i="1"/>
  <c r="I92" i="1" s="1"/>
  <c r="F92" i="1"/>
  <c r="E92" i="1"/>
  <c r="A92" i="1"/>
  <c r="H91" i="1"/>
  <c r="G91" i="1"/>
  <c r="I91" i="1" s="1"/>
  <c r="F91" i="1"/>
  <c r="E91" i="1"/>
  <c r="A91" i="1"/>
  <c r="H90" i="1"/>
  <c r="G90" i="1"/>
  <c r="I90" i="1" s="1"/>
  <c r="F90" i="1"/>
  <c r="E90" i="1"/>
  <c r="A90" i="1"/>
  <c r="H89" i="1"/>
  <c r="G89" i="1"/>
  <c r="I89" i="1" s="1"/>
  <c r="F89" i="1"/>
  <c r="E89" i="1"/>
  <c r="A89" i="1"/>
  <c r="H88" i="1"/>
  <c r="G88" i="1"/>
  <c r="I88" i="1" s="1"/>
  <c r="F88" i="1"/>
  <c r="E88" i="1"/>
  <c r="A88" i="1"/>
  <c r="H87" i="1"/>
  <c r="G87" i="1"/>
  <c r="I87" i="1" s="1"/>
  <c r="F87" i="1"/>
  <c r="E87" i="1"/>
  <c r="A87" i="1"/>
  <c r="H86" i="1"/>
  <c r="G86" i="1"/>
  <c r="I86" i="1" s="1"/>
  <c r="F86" i="1"/>
  <c r="E86" i="1"/>
  <c r="A86" i="1"/>
  <c r="H85" i="1"/>
  <c r="G85" i="1"/>
  <c r="I85" i="1" s="1"/>
  <c r="F85" i="1"/>
  <c r="E85" i="1"/>
  <c r="A85" i="1"/>
  <c r="H84" i="1"/>
  <c r="G84" i="1"/>
  <c r="I84" i="1" s="1"/>
  <c r="F84" i="1"/>
  <c r="E84" i="1"/>
  <c r="A84" i="1"/>
  <c r="H83" i="1"/>
  <c r="G83" i="1"/>
  <c r="I83" i="1" s="1"/>
  <c r="F83" i="1"/>
  <c r="E83" i="1"/>
  <c r="A83" i="1"/>
  <c r="H82" i="1"/>
  <c r="G82" i="1"/>
  <c r="I82" i="1" s="1"/>
  <c r="F82" i="1"/>
  <c r="E82" i="1"/>
  <c r="A82" i="1"/>
  <c r="H81" i="1"/>
  <c r="G81" i="1"/>
  <c r="I81" i="1" s="1"/>
  <c r="F81" i="1"/>
  <c r="E81" i="1"/>
  <c r="A81" i="1"/>
  <c r="H80" i="1"/>
  <c r="G80" i="1"/>
  <c r="I80" i="1" s="1"/>
  <c r="F80" i="1"/>
  <c r="E80" i="1"/>
  <c r="A80" i="1"/>
  <c r="H79" i="1"/>
  <c r="G79" i="1"/>
  <c r="I79" i="1" s="1"/>
  <c r="F79" i="1"/>
  <c r="E79" i="1"/>
  <c r="A79" i="1"/>
  <c r="H78" i="1"/>
  <c r="G78" i="1"/>
  <c r="I78" i="1" s="1"/>
  <c r="F78" i="1"/>
  <c r="E78" i="1"/>
  <c r="A78" i="1"/>
  <c r="H77" i="1"/>
  <c r="G77" i="1"/>
  <c r="I77" i="1" s="1"/>
  <c r="F77" i="1"/>
  <c r="E77" i="1"/>
  <c r="A77" i="1"/>
  <c r="H76" i="1"/>
  <c r="G76" i="1"/>
  <c r="I76" i="1" s="1"/>
  <c r="F76" i="1"/>
  <c r="E76" i="1"/>
  <c r="A76" i="1"/>
  <c r="H75" i="1"/>
  <c r="G75" i="1"/>
  <c r="I75" i="1" s="1"/>
  <c r="F75" i="1"/>
  <c r="E75" i="1"/>
  <c r="A75" i="1"/>
  <c r="H74" i="1"/>
  <c r="G74" i="1"/>
  <c r="I74" i="1" s="1"/>
  <c r="F74" i="1"/>
  <c r="E74" i="1"/>
  <c r="A74" i="1"/>
  <c r="H73" i="1"/>
  <c r="G73" i="1"/>
  <c r="I73" i="1" s="1"/>
  <c r="F73" i="1"/>
  <c r="E73" i="1"/>
  <c r="A73" i="1"/>
  <c r="H72" i="1"/>
  <c r="G72" i="1"/>
  <c r="I72" i="1" s="1"/>
  <c r="F72" i="1"/>
  <c r="E72" i="1"/>
  <c r="A72" i="1"/>
  <c r="H71" i="1"/>
  <c r="G71" i="1"/>
  <c r="I71" i="1" s="1"/>
  <c r="F71" i="1"/>
  <c r="E71" i="1"/>
  <c r="A71" i="1"/>
  <c r="H70" i="1"/>
  <c r="G70" i="1"/>
  <c r="I70" i="1" s="1"/>
  <c r="F70" i="1"/>
  <c r="E70" i="1"/>
  <c r="A70" i="1"/>
  <c r="H69" i="1"/>
  <c r="G69" i="1"/>
  <c r="I69" i="1" s="1"/>
  <c r="F69" i="1"/>
  <c r="E69" i="1"/>
  <c r="A69" i="1"/>
  <c r="H68" i="1"/>
  <c r="G68" i="1"/>
  <c r="I68" i="1" s="1"/>
  <c r="F68" i="1"/>
  <c r="E68" i="1"/>
  <c r="A68" i="1"/>
  <c r="H67" i="1"/>
  <c r="G67" i="1"/>
  <c r="I67" i="1" s="1"/>
  <c r="F67" i="1"/>
  <c r="E67" i="1"/>
  <c r="A67" i="1"/>
  <c r="H66" i="1"/>
  <c r="G66" i="1"/>
  <c r="I66" i="1" s="1"/>
  <c r="F66" i="1"/>
  <c r="E66" i="1"/>
  <c r="A66" i="1"/>
  <c r="H65" i="1"/>
  <c r="G65" i="1"/>
  <c r="I65" i="1" s="1"/>
  <c r="F65" i="1"/>
  <c r="E65" i="1"/>
  <c r="A65" i="1"/>
  <c r="H64" i="1"/>
  <c r="G64" i="1"/>
  <c r="I64" i="1" s="1"/>
  <c r="F64" i="1"/>
  <c r="E64" i="1"/>
  <c r="A64" i="1"/>
  <c r="H63" i="1"/>
  <c r="G63" i="1"/>
  <c r="I63" i="1" s="1"/>
  <c r="F63" i="1"/>
  <c r="E63" i="1"/>
  <c r="A63" i="1"/>
  <c r="H62" i="1"/>
  <c r="G62" i="1"/>
  <c r="I62" i="1" s="1"/>
  <c r="F62" i="1"/>
  <c r="E62" i="1"/>
  <c r="A62" i="1"/>
  <c r="H61" i="1"/>
  <c r="G61" i="1"/>
  <c r="I61" i="1" s="1"/>
  <c r="F61" i="1"/>
  <c r="E61" i="1"/>
  <c r="A61" i="1"/>
  <c r="H60" i="1"/>
  <c r="G60" i="1"/>
  <c r="I60" i="1" s="1"/>
  <c r="F60" i="1"/>
  <c r="E60" i="1"/>
  <c r="A60" i="1"/>
  <c r="H59" i="1"/>
  <c r="G59" i="1"/>
  <c r="I59" i="1" s="1"/>
  <c r="F59" i="1"/>
  <c r="E59" i="1"/>
  <c r="A59" i="1"/>
  <c r="H58" i="1"/>
  <c r="G58" i="1"/>
  <c r="I58" i="1" s="1"/>
  <c r="F58" i="1"/>
  <c r="E58" i="1"/>
  <c r="A58" i="1"/>
  <c r="H57" i="1"/>
  <c r="G57" i="1"/>
  <c r="I57" i="1" s="1"/>
  <c r="F57" i="1"/>
  <c r="E57" i="1"/>
  <c r="A57" i="1"/>
  <c r="H56" i="1"/>
  <c r="G56" i="1"/>
  <c r="I56" i="1" s="1"/>
  <c r="F56" i="1"/>
  <c r="E56" i="1"/>
  <c r="A56" i="1"/>
  <c r="H55" i="1"/>
  <c r="G55" i="1"/>
  <c r="I55" i="1" s="1"/>
  <c r="F55" i="1"/>
  <c r="E55" i="1"/>
  <c r="A55" i="1"/>
  <c r="H54" i="1"/>
  <c r="G54" i="1"/>
  <c r="I54" i="1" s="1"/>
  <c r="F54" i="1"/>
  <c r="E54" i="1"/>
  <c r="A54" i="1"/>
  <c r="H53" i="1"/>
  <c r="G53" i="1"/>
  <c r="I53" i="1" s="1"/>
  <c r="F53" i="1"/>
  <c r="E53" i="1"/>
  <c r="A53" i="1"/>
  <c r="H52" i="1"/>
  <c r="G52" i="1"/>
  <c r="I52" i="1" s="1"/>
  <c r="F52" i="1"/>
  <c r="E52" i="1"/>
  <c r="A52" i="1"/>
  <c r="H51" i="1"/>
  <c r="G51" i="1"/>
  <c r="I51" i="1" s="1"/>
  <c r="F51" i="1"/>
  <c r="E51" i="1"/>
  <c r="A51" i="1"/>
  <c r="H50" i="1"/>
  <c r="G50" i="1"/>
  <c r="I50" i="1" s="1"/>
  <c r="F50" i="1"/>
  <c r="E50" i="1"/>
  <c r="A50" i="1"/>
  <c r="H49" i="1"/>
  <c r="G49" i="1"/>
  <c r="I49" i="1" s="1"/>
  <c r="F49" i="1"/>
  <c r="E49" i="1"/>
  <c r="A49" i="1"/>
  <c r="H48" i="1"/>
  <c r="G48" i="1"/>
  <c r="I48" i="1" s="1"/>
  <c r="F48" i="1"/>
  <c r="E48" i="1"/>
  <c r="A48" i="1"/>
  <c r="H47" i="1"/>
  <c r="G47" i="1"/>
  <c r="I47" i="1" s="1"/>
  <c r="F47" i="1"/>
  <c r="E47" i="1"/>
  <c r="A47" i="1"/>
  <c r="H46" i="1"/>
  <c r="G46" i="1"/>
  <c r="I46" i="1" s="1"/>
  <c r="F46" i="1"/>
  <c r="E46" i="1"/>
  <c r="A46" i="1"/>
  <c r="H45" i="1"/>
  <c r="G45" i="1"/>
  <c r="I45" i="1" s="1"/>
  <c r="F45" i="1"/>
  <c r="E45" i="1"/>
  <c r="A45" i="1"/>
  <c r="H44" i="1"/>
  <c r="G44" i="1"/>
  <c r="I44" i="1" s="1"/>
  <c r="F44" i="1"/>
  <c r="E44" i="1"/>
  <c r="A44" i="1"/>
  <c r="H43" i="1"/>
  <c r="G43" i="1"/>
  <c r="I43" i="1" s="1"/>
  <c r="F43" i="1"/>
  <c r="E43" i="1"/>
  <c r="A43" i="1"/>
  <c r="H42" i="1"/>
  <c r="G42" i="1"/>
  <c r="I42" i="1" s="1"/>
  <c r="F42" i="1"/>
  <c r="E42" i="1"/>
  <c r="A42" i="1"/>
  <c r="H41" i="1"/>
  <c r="G41" i="1"/>
  <c r="I41" i="1" s="1"/>
  <c r="F41" i="1"/>
  <c r="E41" i="1"/>
  <c r="A41" i="1"/>
  <c r="H40" i="1"/>
  <c r="G40" i="1"/>
  <c r="I40" i="1" s="1"/>
  <c r="F40" i="1"/>
  <c r="E40" i="1"/>
  <c r="A40" i="1"/>
  <c r="H39" i="1"/>
  <c r="G39" i="1"/>
  <c r="I39" i="1" s="1"/>
  <c r="F39" i="1"/>
  <c r="E39" i="1"/>
  <c r="A39" i="1"/>
  <c r="H38" i="1"/>
  <c r="G38" i="1"/>
  <c r="I38" i="1" s="1"/>
  <c r="F38" i="1"/>
  <c r="E38" i="1"/>
  <c r="A38" i="1"/>
  <c r="H37" i="1"/>
  <c r="G37" i="1"/>
  <c r="I37" i="1" s="1"/>
  <c r="F37" i="1"/>
  <c r="E37" i="1"/>
  <c r="A37" i="1"/>
  <c r="H36" i="1"/>
  <c r="G36" i="1"/>
  <c r="I36" i="1" s="1"/>
  <c r="F36" i="1"/>
  <c r="E36" i="1"/>
  <c r="A36" i="1"/>
  <c r="H35" i="1"/>
  <c r="G35" i="1"/>
  <c r="I35" i="1" s="1"/>
  <c r="F35" i="1"/>
  <c r="E35" i="1"/>
  <c r="A35" i="1"/>
  <c r="H34" i="1"/>
  <c r="G34" i="1"/>
  <c r="I34" i="1" s="1"/>
  <c r="F34" i="1"/>
  <c r="E34" i="1"/>
  <c r="A34" i="1"/>
  <c r="H33" i="1"/>
  <c r="G33" i="1"/>
  <c r="I33" i="1" s="1"/>
  <c r="F33" i="1"/>
  <c r="E33" i="1"/>
  <c r="A33" i="1"/>
  <c r="H32" i="1"/>
  <c r="G32" i="1"/>
  <c r="I32" i="1" s="1"/>
  <c r="F32" i="1"/>
  <c r="E32" i="1"/>
  <c r="A32" i="1"/>
  <c r="H31" i="1"/>
  <c r="G31" i="1"/>
  <c r="I31" i="1" s="1"/>
  <c r="F31" i="1"/>
  <c r="E31" i="1"/>
  <c r="A31" i="1"/>
  <c r="H30" i="1"/>
  <c r="G30" i="1"/>
  <c r="I30" i="1" s="1"/>
  <c r="F30" i="1"/>
  <c r="E30" i="1"/>
  <c r="A30" i="1"/>
  <c r="H29" i="1"/>
  <c r="G29" i="1"/>
  <c r="I29" i="1" s="1"/>
  <c r="F29" i="1"/>
  <c r="E29" i="1"/>
  <c r="A29" i="1"/>
  <c r="H28" i="1"/>
  <c r="G28" i="1"/>
  <c r="I28" i="1" s="1"/>
  <c r="F28" i="1"/>
  <c r="E28" i="1"/>
  <c r="A28" i="1"/>
  <c r="H27" i="1"/>
  <c r="G27" i="1"/>
  <c r="I27" i="1" s="1"/>
  <c r="F27" i="1"/>
  <c r="E27" i="1"/>
  <c r="A27" i="1"/>
  <c r="H26" i="1"/>
  <c r="G26" i="1"/>
  <c r="I26" i="1" s="1"/>
  <c r="F26" i="1"/>
  <c r="E26" i="1"/>
  <c r="A26" i="1"/>
  <c r="H25" i="1"/>
  <c r="G25" i="1"/>
  <c r="I25" i="1" s="1"/>
  <c r="F25" i="1"/>
  <c r="E25" i="1"/>
  <c r="A25" i="1"/>
  <c r="H24" i="1"/>
  <c r="G24" i="1"/>
  <c r="I24" i="1" s="1"/>
  <c r="F24" i="1"/>
  <c r="E24" i="1"/>
  <c r="A24" i="1"/>
  <c r="H23" i="1"/>
  <c r="G23" i="1"/>
  <c r="I23" i="1" s="1"/>
  <c r="F23" i="1"/>
  <c r="E23" i="1"/>
  <c r="A23" i="1"/>
  <c r="H22" i="1"/>
  <c r="G22" i="1"/>
  <c r="I22" i="1" s="1"/>
  <c r="F22" i="1"/>
  <c r="E22" i="1"/>
  <c r="A22" i="1"/>
  <c r="H21" i="1"/>
  <c r="G21" i="1"/>
  <c r="I21" i="1" s="1"/>
  <c r="F21" i="1"/>
  <c r="E21" i="1"/>
  <c r="A21" i="1"/>
  <c r="H20" i="1"/>
  <c r="G20" i="1"/>
  <c r="I20" i="1" s="1"/>
  <c r="F20" i="1"/>
  <c r="E20" i="1"/>
  <c r="A20" i="1"/>
  <c r="H19" i="1"/>
  <c r="G19" i="1"/>
  <c r="I19" i="1" s="1"/>
  <c r="F19" i="1"/>
  <c r="E19" i="1"/>
  <c r="A19" i="1"/>
  <c r="H18" i="1"/>
  <c r="G18" i="1"/>
  <c r="I18" i="1" s="1"/>
  <c r="F18" i="1"/>
  <c r="E18" i="1"/>
  <c r="A18" i="1"/>
  <c r="H17" i="1"/>
  <c r="G17" i="1"/>
  <c r="I17" i="1" s="1"/>
  <c r="F17" i="1"/>
  <c r="E17" i="1"/>
  <c r="A17" i="1"/>
  <c r="H16" i="1"/>
  <c r="G16" i="1"/>
  <c r="I16" i="1" s="1"/>
  <c r="F16" i="1"/>
  <c r="E16" i="1"/>
  <c r="A16" i="1"/>
  <c r="H15" i="1"/>
  <c r="G15" i="1"/>
  <c r="I15" i="1" s="1"/>
  <c r="F15" i="1"/>
  <c r="E15" i="1"/>
  <c r="A15" i="1"/>
  <c r="H14" i="1"/>
  <c r="G14" i="1"/>
  <c r="I14" i="1" s="1"/>
  <c r="F14" i="1"/>
  <c r="E14" i="1"/>
  <c r="A14" i="1"/>
  <c r="H13" i="1"/>
  <c r="G13" i="1"/>
  <c r="I13" i="1" s="1"/>
  <c r="F13" i="1"/>
  <c r="E13" i="1"/>
  <c r="A13" i="1"/>
  <c r="H12" i="1"/>
  <c r="G12" i="1"/>
  <c r="I12" i="1" s="1"/>
  <c r="F12" i="1"/>
  <c r="E12" i="1"/>
  <c r="A12" i="1"/>
  <c r="H11" i="1"/>
  <c r="G11" i="1"/>
  <c r="I11" i="1" s="1"/>
  <c r="F11" i="1"/>
  <c r="E11" i="1"/>
  <c r="A11" i="1"/>
  <c r="H10" i="1"/>
  <c r="G10" i="1"/>
  <c r="I10" i="1" s="1"/>
  <c r="F10" i="1"/>
  <c r="E10" i="1"/>
  <c r="A10" i="1"/>
  <c r="H9" i="1"/>
  <c r="G9" i="1"/>
  <c r="I9" i="1" s="1"/>
  <c r="F9" i="1"/>
  <c r="E9" i="1"/>
  <c r="A9" i="1"/>
  <c r="H8" i="1"/>
  <c r="G8" i="1"/>
  <c r="I8" i="1" s="1"/>
  <c r="F8" i="1"/>
  <c r="E8" i="1"/>
  <c r="A8" i="1"/>
  <c r="H7" i="1"/>
  <c r="G7" i="1"/>
  <c r="I7" i="1" s="1"/>
  <c r="F7" i="1"/>
  <c r="E7" i="1"/>
  <c r="A7" i="1"/>
  <c r="H6" i="1"/>
  <c r="G6" i="1"/>
  <c r="I6" i="1" s="1"/>
  <c r="F6" i="1"/>
  <c r="E6" i="1"/>
  <c r="A6" i="1"/>
  <c r="H5" i="1"/>
  <c r="G5" i="1"/>
  <c r="I5" i="1" s="1"/>
  <c r="F5" i="1"/>
  <c r="E5" i="1"/>
  <c r="A5" i="1"/>
  <c r="F4" i="1"/>
  <c r="G4" i="1" s="1"/>
  <c r="I4" i="1" s="1"/>
  <c r="E4" i="1"/>
  <c r="A4" i="1"/>
  <c r="F3" i="1"/>
  <c r="G3" i="1" s="1"/>
  <c r="I3" i="1" s="1"/>
  <c r="E3" i="1"/>
  <c r="A3" i="1"/>
  <c r="F2" i="1"/>
  <c r="G2" i="1" s="1"/>
  <c r="I2" i="1" s="1"/>
  <c r="E2" i="1"/>
  <c r="A2" i="1"/>
  <c r="G13" i="3" l="1"/>
  <c r="G7" i="3"/>
  <c r="G16" i="3"/>
  <c r="G9" i="3"/>
  <c r="G10" i="3"/>
  <c r="G14" i="3"/>
  <c r="G5" i="3"/>
  <c r="G11" i="3"/>
  <c r="G15" i="3"/>
  <c r="G6" i="3"/>
  <c r="G12" i="3"/>
  <c r="C5" i="3"/>
  <c r="C17" i="3"/>
  <c r="B63" i="3"/>
  <c r="C37" i="3"/>
  <c r="B95" i="3"/>
  <c r="C79" i="3"/>
  <c r="C59" i="3"/>
  <c r="C42" i="3"/>
  <c r="B85" i="3"/>
  <c r="B42" i="3"/>
  <c r="C61" i="3"/>
  <c r="C25" i="3"/>
  <c r="B37" i="3"/>
  <c r="B49" i="3"/>
  <c r="B69" i="3"/>
  <c r="C69" i="3"/>
  <c r="C63" i="3"/>
  <c r="D30" i="3" a="1"/>
  <c r="D30" i="3" s="1"/>
  <c r="B30" i="3"/>
  <c r="B14" i="3"/>
  <c r="C14" i="3"/>
  <c r="B19" i="3"/>
  <c r="B71" i="3"/>
  <c r="C95" i="3"/>
  <c r="D89" i="3" a="1"/>
  <c r="D89" i="3" s="1"/>
  <c r="C19" i="3"/>
  <c r="C71" i="3"/>
  <c r="D57" i="3" a="1"/>
  <c r="D57" i="3" s="1"/>
  <c r="B79" i="3"/>
  <c r="B73" i="3"/>
  <c r="D25" i="3" a="1"/>
  <c r="D25" i="3" s="1"/>
  <c r="D11" i="3" a="1"/>
  <c r="D11" i="3" s="1"/>
  <c r="B31" i="3"/>
  <c r="B55" i="3"/>
  <c r="C55" i="3"/>
  <c r="D93" i="3" a="1"/>
  <c r="D93" i="3" s="1"/>
  <c r="D5" i="3" a="1"/>
  <c r="D5" i="3" s="1"/>
  <c r="B21" i="3"/>
  <c r="C31" i="3"/>
  <c r="C93" i="3"/>
  <c r="D72" i="3" a="1"/>
  <c r="D72" i="3" s="1"/>
  <c r="D41" i="3" a="1"/>
  <c r="D41" i="3" s="1"/>
  <c r="B38" i="3"/>
  <c r="D38" i="3" a="1"/>
  <c r="D38" i="3" s="1"/>
  <c r="D82" i="3" a="1"/>
  <c r="D82" i="3" s="1"/>
  <c r="B82" i="3"/>
  <c r="C82" i="3"/>
  <c r="D26" i="3" a="1"/>
  <c r="D26" i="3" s="1"/>
  <c r="B26" i="3"/>
  <c r="C26" i="3"/>
  <c r="C47" i="3"/>
  <c r="D47" i="3" a="1"/>
  <c r="D47" i="3" s="1"/>
  <c r="B34" i="3"/>
  <c r="D34" i="3" a="1"/>
  <c r="D34" i="3" s="1"/>
  <c r="B29" i="3"/>
  <c r="D29" i="3" a="1"/>
  <c r="D29" i="3" s="1"/>
  <c r="D23" i="3" a="1"/>
  <c r="D23" i="3" s="1"/>
  <c r="B23" i="3"/>
  <c r="B6" i="3"/>
  <c r="C6" i="3"/>
  <c r="D75" i="3" a="1"/>
  <c r="D75" i="3" s="1"/>
  <c r="D6" i="3" a="1"/>
  <c r="D6" i="3" s="1"/>
  <c r="C40" i="3"/>
  <c r="C90" i="3"/>
  <c r="D90" i="3" a="1"/>
  <c r="D90" i="3" s="1"/>
  <c r="B74" i="3"/>
  <c r="D74" i="3" a="1"/>
  <c r="D74" i="3" s="1"/>
  <c r="B56" i="3"/>
  <c r="D56" i="3" a="1"/>
  <c r="D56" i="3" s="1"/>
  <c r="C53" i="3"/>
  <c r="B53" i="3"/>
  <c r="D53" i="3" a="1"/>
  <c r="D53" i="3" s="1"/>
  <c r="D18" i="3" a="1"/>
  <c r="D18" i="3" s="1"/>
  <c r="C18" i="3"/>
  <c r="D15" i="3" a="1"/>
  <c r="D15" i="3" s="1"/>
  <c r="B15" i="3"/>
  <c r="D2" i="3" a="1"/>
  <c r="D2" i="3" s="1"/>
  <c r="B2" i="3"/>
  <c r="D85" i="3" a="1"/>
  <c r="D85" i="3" s="1"/>
  <c r="D81" i="3" a="1"/>
  <c r="D81" i="3" s="1"/>
  <c r="D46" i="3" a="1"/>
  <c r="D46" i="3" s="1"/>
  <c r="D9" i="3" a="1"/>
  <c r="D9" i="3" s="1"/>
  <c r="B8" i="3"/>
  <c r="C15" i="3"/>
  <c r="C34" i="3"/>
  <c r="C50" i="3"/>
  <c r="B50" i="3"/>
  <c r="D87" i="3" a="1"/>
  <c r="D87" i="3" s="1"/>
  <c r="B87" i="3"/>
  <c r="C64" i="3"/>
  <c r="D64" i="3" a="1"/>
  <c r="D64" i="3" s="1"/>
  <c r="C39" i="3"/>
  <c r="D39" i="3" a="1"/>
  <c r="D39" i="3" s="1"/>
  <c r="B39" i="3"/>
  <c r="D91" i="3" a="1"/>
  <c r="D91" i="3" s="1"/>
  <c r="D88" i="3" a="1"/>
  <c r="D88" i="3" s="1"/>
  <c r="D77" i="3" a="1"/>
  <c r="D77" i="3" s="1"/>
  <c r="D70" i="3" a="1"/>
  <c r="D70" i="3" s="1"/>
  <c r="D49" i="3" a="1"/>
  <c r="D49" i="3" s="1"/>
  <c r="D14" i="3" a="1"/>
  <c r="D14" i="3" s="1"/>
  <c r="B13" i="3"/>
  <c r="B16" i="3"/>
  <c r="C21" i="3"/>
  <c r="C29" i="3"/>
  <c r="C43" i="3"/>
  <c r="C66" i="3"/>
  <c r="D66" i="3" a="1"/>
  <c r="D66" i="3" s="1"/>
  <c r="B48" i="3"/>
  <c r="D48" i="3" a="1"/>
  <c r="D48" i="3" s="1"/>
  <c r="C45" i="3"/>
  <c r="D45" i="3" a="1"/>
  <c r="D45" i="3" s="1"/>
  <c r="B35" i="3"/>
  <c r="C35" i="3"/>
  <c r="D10" i="3" a="1"/>
  <c r="D10" i="3" s="1"/>
  <c r="C10" i="3"/>
  <c r="D80" i="3" a="1"/>
  <c r="D80" i="3" s="1"/>
  <c r="D59" i="3" a="1"/>
  <c r="D59" i="3" s="1"/>
  <c r="D43" i="3" a="1"/>
  <c r="D43" i="3" s="1"/>
  <c r="D33" i="3" a="1"/>
  <c r="D33" i="3" s="1"/>
  <c r="D17" i="3" a="1"/>
  <c r="D17" i="3" s="1"/>
  <c r="D3" i="3" a="1"/>
  <c r="D3" i="3" s="1"/>
  <c r="C84" i="3"/>
  <c r="C52" i="3"/>
  <c r="B52" i="3"/>
  <c r="C20" i="3"/>
  <c r="B20" i="3"/>
  <c r="C28" i="3"/>
  <c r="B28" i="3"/>
  <c r="B68" i="3"/>
  <c r="C36" i="3"/>
  <c r="C4" i="3"/>
  <c r="C8" i="3"/>
  <c r="C24" i="3"/>
  <c r="B58" i="3"/>
  <c r="C58" i="3"/>
  <c r="C89" i="3"/>
  <c r="C16" i="3"/>
  <c r="C73" i="3"/>
  <c r="B41" i="3"/>
  <c r="B3" i="3"/>
  <c r="C9" i="3"/>
  <c r="C38" i="3"/>
  <c r="B40" i="3"/>
  <c r="C46" i="3"/>
  <c r="B61" i="3"/>
  <c r="C77" i="3"/>
  <c r="C75" i="3"/>
  <c r="B66" i="3"/>
  <c r="B54" i="3"/>
  <c r="C54" i="3"/>
  <c r="B86" i="3"/>
  <c r="C86" i="3"/>
  <c r="B22" i="3"/>
  <c r="C22" i="3"/>
  <c r="C97" i="3"/>
  <c r="B94" i="3"/>
  <c r="C94" i="3"/>
  <c r="C65" i="3"/>
  <c r="B62" i="3"/>
  <c r="C62" i="3"/>
  <c r="C30" i="3"/>
  <c r="C33" i="3"/>
  <c r="B65" i="3"/>
  <c r="C68" i="3"/>
  <c r="B96" i="3"/>
  <c r="C76" i="3"/>
  <c r="B76" i="3"/>
  <c r="C67" i="3"/>
  <c r="B67" i="3"/>
  <c r="B64" i="3"/>
  <c r="B12" i="3"/>
  <c r="B27" i="3"/>
  <c r="B32" i="3"/>
  <c r="B44" i="3"/>
  <c r="B91" i="3"/>
  <c r="C96" i="3"/>
  <c r="C81" i="3"/>
  <c r="B78" i="3"/>
  <c r="C78" i="3"/>
  <c r="C72" i="3"/>
  <c r="C88" i="3"/>
  <c r="C56" i="3"/>
  <c r="B70" i="3"/>
  <c r="B4" i="3"/>
  <c r="C12" i="3"/>
  <c r="B24" i="3"/>
  <c r="C32" i="3"/>
  <c r="B36" i="3"/>
  <c r="C44" i="3"/>
  <c r="B84" i="3"/>
  <c r="B97" i="3"/>
  <c r="C92" i="3"/>
  <c r="B92" i="3"/>
  <c r="C83" i="3"/>
  <c r="B83" i="3"/>
  <c r="B80" i="3"/>
  <c r="C60" i="3"/>
  <c r="B60" i="3"/>
  <c r="C51" i="3"/>
  <c r="B51" i="3"/>
  <c r="C48" i="3"/>
  <c r="H3" i="1"/>
  <c r="H2" i="1"/>
  <c r="H4" i="1"/>
  <c r="I2" i="3" l="1"/>
  <c r="I1"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<sst xmlns="http://schemas.openxmlformats.org/spreadsheetml/2006/main" count="25" uniqueCount="21">
  <si>
    <t>ID</t>
  </si>
  <si>
    <t>PRODUTO</t>
  </si>
  <si>
    <t>VALOR UNITÁRIO</t>
  </si>
  <si>
    <t>ENTRADAS (Qtd)</t>
  </si>
  <si>
    <t>SAÍDAS (Auto)</t>
  </si>
  <si>
    <t>ESTOQUE ATUAL</t>
  </si>
  <si>
    <t>% EM ESTOQUE</t>
  </si>
  <si>
    <t>STATUS</t>
  </si>
  <si>
    <t>DATA</t>
  </si>
  <si>
    <t>MÊS</t>
  </si>
  <si>
    <t>COLEGA</t>
  </si>
  <si>
    <t>EMPRESA CLIENTE</t>
  </si>
  <si>
    <t>QTD SAÍDA</t>
  </si>
  <si>
    <t>QTD ITENS</t>
  </si>
  <si>
    <t>PRODUTOS</t>
  </si>
  <si>
    <t>TOTAL INDIVIDUAL</t>
  </si>
  <si>
    <t>TOTAL GASTO</t>
  </si>
  <si>
    <t>CUSTO TOTAL</t>
  </si>
  <si>
    <t>GASTO TOTAL GERAL</t>
  </si>
  <si>
    <t>TOTAL ITENS</t>
  </si>
  <si>
    <t>GASTO MÊS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</si>
</sst>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R$&quot;\ * #,##0.00_-;\-&quot;R$&quot;\ * #,##0.00_-;_-&quot;R$&quot;\ * &quot;-&quot;??_-;_-@_-"/>
    <numFmt numFmtId="164" formatCode="\R\$\ #,##0.00"/>
  </numFmts>
  <fonts count="8" x14ac:knownFonts="1">
    <font>
      <sz val="11"/>
      <color theme="1"/>
      <name val="Calibri"/>
      <family val="2"/>
      <scheme val="minor"/>
    </font>
    <font>
      <b/>
      <sz val="11"/>
      <color theme="1"/>
      <name val="Calibri"/>
      <family val="2"/>
      <scheme val="minor"/>
    </font>
    <font>
      <b/>
      <sz val="15"/>
      <color rgb="FFFFFFFF"/>
      <name val="Calibri"/>
      <family val="2"/>
      <scheme val="minor"/>
    </font>
    <font>
      <sz val="15"/>
      <color theme="1"/>
      <name val="Calibri"/>
      <family val="2"/>
      <scheme val="minor"/>
    </font>
    <font>
      <b/>
      <sz val="15"/>
      <color theme="1"/>
      <name val="Calibri"/>
      <family val="2"/>
      <scheme val="minor"/>
    </font>
    <font>
      <sz val="11"/>
      <color theme="1"/>
      <name val="Calibri"/>
      <family val="2"/>
      <scheme val="minor"/>
    </font>
    <font>
      <b/>
      <i/>
      <sz val="15"/>
      <color theme="0"/>
      <name val="Calibri"/>
      <family val="2"/>
      <scheme val="minor"/>
    </font>
    <font>
      <b/>
      <i/>
      <sz val="15"/>
      <color theme="1"/>
      <name val="Calibri"/>
      <family val="2"/>
      <scheme val="minor"/>
    </font>
  </fonts>
  <fills count="5">
    <fill>
      <patternFill patternType="none"/>
    </fill>
    <fill>
      <patternFill patternType="gray125"/>
    </fill>
    <fill>
      <patternFill patternType="solid">
        <fgColor rgb="FF203764"/>
        <bgColor indexed="64"/>
      </patternFill>
    </fill>
    <fill>
      <patternFill patternType="solid">
        <fgColor theme="6" tint="-0.499984740745262"/>
        <bgColor indexed="64"/>
      </patternFill>
    </fill>
    <fill>
      <patternFill patternType="solid">
        <fgColor theme="5" tint="-0.499984740745262"/>
        <bgColor indexed="64"/>
      </patternFill>
    </fill>
  </fills>
  <borders count="5">
    <border>
      <left/>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44" fontId="5" fillId="0" borderId="0" applyFont="0" applyFill="0" applyBorder="0" applyAlignment="0" applyProtection="0"/>
  </cellStyleXfs>
  <cellXfs count="26">
    <xf numFmtId="0" fontId="0" fillId="0" borderId="0" xfId="0"/>
    <xf numFmtId="0" fontId="0" fillId="0" borderId="0" xfId="0" applyAlignment="1">
      <alignment horizontal="center"/>
    </xf>
    <xf numFmtId="164" fontId="0" fillId="0" borderId="0" xfId="0" applyNumberFormat="1"/>
    <xf numFmtId="9" fontId="1" fillId="0" borderId="0" xfId="0" applyNumberFormat="1" applyFont="1" applyAlignment="1">
      <alignment horizont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center"/>
    </xf>
    <xf numFmtId="0" fontId="3" fillId="0" borderId="0" xfId="0" applyFont="1"/>
    <xf numFmtId="164" fontId="3" fillId="0" borderId="0" xfId="0" applyNumberFormat="1" applyFont="1"/>
    <xf numFmtId="9" fontId="4" fillId="0" borderId="0" xfId="0" applyNumberFormat="1" applyFont="1" applyAlignment="1">
      <alignment horizontal="center" vertical="center"/>
    </xf>
    <xf numFmtId="0" fontId="2" fillId="4" borderId="1" xfId="0" applyFont="1" applyFill="1" applyBorder="1" applyAlignment="1">
      <alignment horizontal="center" vertical="center"/>
    </xf>
    <xf numFmtId="0" fontId="4" fillId="0" borderId="0" xfId="0" applyFont="1" applyAlignment="1">
      <alignment horizontal="center" vertical="center"/>
    </xf>
    <xf numFmtId="164" fontId="4" fillId="0" borderId="0" xfId="0" applyNumberFormat="1" applyFont="1" applyAlignment="1">
      <alignment horizontal="center" vertical="center"/>
    </xf>
    <xf numFmtId="14" fontId="4" fillId="0" borderId="0" xfId="0" applyNumberFormat="1" applyFont="1" applyAlignment="1">
      <alignment horizontal="center"/>
    </xf>
    <xf numFmtId="0" fontId="4" fillId="0" borderId="0" xfId="0" applyFont="1" applyAlignment="1">
      <alignment horizontal="center"/>
    </xf>
    <xf numFmtId="164" fontId="4" fillId="0" borderId="0" xfId="0" applyNumberFormat="1" applyFont="1" applyAlignment="1">
      <alignment horizontal="center"/>
    </xf>
    <xf numFmtId="0" fontId="0" fillId="0" borderId="0" xfId="0" applyAlignment="1">
      <alignment horizontal="center" vertical="center"/>
    </xf>
    <xf numFmtId="0" fontId="4" fillId="0" borderId="2" xfId="0" applyFont="1" applyBorder="1" applyAlignment="1">
      <alignment horizontal="center" vertical="center"/>
    </xf>
    <xf numFmtId="0" fontId="6" fillId="4" borderId="2" xfId="0" applyFont="1" applyFill="1" applyBorder="1" applyAlignment="1">
      <alignment horizontal="center" vertical="center"/>
    </xf>
    <xf numFmtId="44" fontId="7" fillId="0" borderId="2" xfId="1" applyFont="1" applyBorder="1" applyAlignment="1">
      <alignment horizontal="center" vertical="center"/>
    </xf>
    <xf numFmtId="44" fontId="7" fillId="0" borderId="3" xfId="1" quotePrefix="1" applyFont="1" applyBorder="1" applyAlignment="1">
      <alignment horizontal="center" vertical="center"/>
    </xf>
    <xf numFmtId="44" fontId="7" fillId="0" borderId="4" xfId="1" quotePrefix="1" applyFont="1" applyBorder="1" applyAlignment="1">
      <alignment horizontal="center" vertical="center"/>
    </xf>
    <xf numFmtId="0" fontId="7" fillId="0" borderId="2" xfId="0" applyFont="1" applyBorder="1" applyAlignment="1">
      <alignment horizontal="center" vertical="center"/>
    </xf>
    <xf numFmtId="0" fontId="6" fillId="4" borderId="2" xfId="0" applyFont="1" applyFill="1" applyBorder="1" applyAlignment="1">
      <alignment horizontal="center" vertical="center"/>
    </xf>
    <xf numFmtId="44" fontId="7" fillId="0" borderId="2" xfId="1" quotePrefix="1" applyFont="1" applyBorder="1" applyAlignment="1">
      <alignment horizontal="center" vertical="center"/>
    </xf>
  </cellXfs>
  <cellStyles count="2">
    <cellStyle name="Currency" xfId="1" builtinId="4"/>
    <cellStyle name="Normal" xfId="0" builtinId="0"/>
  </cellStyles>
  <dxfs count="33">
    <dxf>
      <font>
        <b/>
        <strike val="0"/>
        <outline val="0"/>
        <shadow val="0"/>
        <u val="none"/>
        <vertAlign val="baseline"/>
        <sz val="15"/>
        <name val="Calibri"/>
        <family val="2"/>
        <scheme val="minor"/>
      </font>
      <numFmt numFmtId="0" formatCode="General"/>
      <alignment horizontal="center" vertical="center" textRotation="0" wrapText="0" indent="0" justifyLastLine="0" shrinkToFit="0" readingOrder="0"/>
    </dxf>
    <dxf>
      <font>
        <b/>
        <strike val="0"/>
        <outline val="0"/>
        <shadow val="0"/>
        <u val="none"/>
        <vertAlign val="baseline"/>
        <sz val="15"/>
        <name val="Calibri"/>
        <family val="2"/>
        <scheme val="minor"/>
      </font>
      <alignment horizontal="center" vertical="center" textRotation="0" wrapText="0" indent="0" justifyLastLine="0" shrinkToFit="0" readingOrder="0"/>
    </dxf>
    <dxf>
      <font>
        <b/>
        <strike val="0"/>
        <outline val="0"/>
        <shadow val="0"/>
        <u val="none"/>
        <vertAlign val="baseline"/>
        <sz val="15"/>
        <name val="Calibri"/>
        <family val="2"/>
        <scheme val="minor"/>
      </font>
      <numFmt numFmtId="164" formatCode="\R\$\ #,##0.00"/>
      <alignment horizontal="center" vertical="center" textRotation="0" wrapText="0" indent="0" justifyLastLine="0" shrinkToFit="0" readingOrder="0"/>
    </dxf>
    <dxf>
      <font>
        <b/>
        <strike val="0"/>
        <outline val="0"/>
        <shadow val="0"/>
        <u val="none"/>
        <vertAlign val="baseline"/>
        <sz val="15"/>
        <name val="Calibri"/>
        <family val="2"/>
        <scheme val="minor"/>
      </font>
      <numFmt numFmtId="0" formatCode="General"/>
      <alignment horizontal="center" vertical="center" textRotation="0" wrapText="0" indent="0" justifyLastLine="0" shrinkToFit="0" readingOrder="0"/>
    </dxf>
    <dxf>
      <border outline="0">
        <top style="thin">
          <color auto="1"/>
        </top>
      </border>
    </dxf>
    <dxf>
      <font>
        <b/>
        <strike val="0"/>
        <outline val="0"/>
        <shadow val="0"/>
        <u val="none"/>
        <vertAlign val="baseline"/>
        <sz val="15"/>
        <name val="Calibri"/>
        <family val="2"/>
        <scheme val="minor"/>
      </font>
      <alignment horizontal="center" vertical="center" textRotation="0" wrapText="0" indent="0" justifyLastLine="0" shrinkToFit="0" readingOrder="0"/>
    </dxf>
    <dxf>
      <border outline="0">
        <bottom style="thin">
          <color auto="1"/>
        </bottom>
      </border>
    </dxf>
    <dxf>
      <font>
        <b/>
        <i val="0"/>
        <strike val="0"/>
        <condense val="0"/>
        <extend val="0"/>
        <outline val="0"/>
        <shadow val="0"/>
        <u val="none"/>
        <vertAlign val="baseline"/>
        <sz val="15"/>
        <color rgb="FFFFFFFF"/>
        <name val="Calibri"/>
        <family val="2"/>
        <scheme val="minor"/>
      </font>
      <fill>
        <patternFill patternType="solid">
          <fgColor indexed="64"/>
          <bgColor theme="5" tint="-0.499984740745262"/>
        </patternFill>
      </fill>
      <alignment horizontal="center" vertical="center" textRotation="0" wrapText="0" indent="0" justifyLastLine="0" shrinkToFit="0" readingOrder="0"/>
      <border diagonalUp="0" diagonalDown="0" outline="0">
        <left style="thin">
          <color auto="1"/>
        </left>
        <right style="thin">
          <color auto="1"/>
        </right>
        <top/>
        <bottom/>
      </border>
    </dxf>
    <dxf>
      <font>
        <b/>
        <strike val="0"/>
        <outline val="0"/>
        <shadow val="0"/>
        <u val="none"/>
        <vertAlign val="baseline"/>
        <sz val="15"/>
        <name val="Calibri"/>
        <family val="2"/>
        <scheme val="minor"/>
      </font>
      <numFmt numFmtId="164" formatCode="\R\$\ #,##0.00"/>
      <alignment horizontal="center" textRotation="0" wrapText="0" indent="0" justifyLastLine="0" shrinkToFit="0" readingOrder="0"/>
    </dxf>
    <dxf>
      <font>
        <b/>
        <strike val="0"/>
        <outline val="0"/>
        <shadow val="0"/>
        <u val="none"/>
        <vertAlign val="baseline"/>
        <sz val="15"/>
        <name val="Calibri"/>
        <family val="2"/>
        <scheme val="minor"/>
      </font>
      <alignment horizontal="center" vertical="bottom" textRotation="0" wrapText="0" indent="0" justifyLastLine="0" shrinkToFit="0" readingOrder="0"/>
    </dxf>
    <dxf>
      <font>
        <b/>
        <strike val="0"/>
        <outline val="0"/>
        <shadow val="0"/>
        <u val="none"/>
        <vertAlign val="baseline"/>
        <sz val="15"/>
        <name val="Calibri"/>
        <family val="2"/>
        <scheme val="minor"/>
      </font>
      <alignment horizontal="center" textRotation="0" wrapText="0" indent="0" justifyLastLine="0" shrinkToFit="0" readingOrder="0"/>
    </dxf>
    <dxf>
      <font>
        <b/>
        <strike val="0"/>
        <outline val="0"/>
        <shadow val="0"/>
        <u val="none"/>
        <vertAlign val="baseline"/>
        <sz val="15"/>
        <name val="Calibri"/>
        <family val="2"/>
        <scheme val="minor"/>
      </font>
      <alignment horizontal="center" textRotation="0" wrapText="0" indent="0" justifyLastLine="0" shrinkToFit="0" readingOrder="0"/>
    </dxf>
    <dxf>
      <font>
        <b/>
        <strike val="0"/>
        <outline val="0"/>
        <shadow val="0"/>
        <u val="none"/>
        <vertAlign val="baseline"/>
        <sz val="15"/>
        <name val="Calibri"/>
        <family val="2"/>
        <scheme val="minor"/>
      </font>
      <alignment horizontal="center" textRotation="0" wrapText="0" indent="0" justifyLastLine="0" shrinkToFit="0" readingOrder="0"/>
    </dxf>
    <dxf>
      <font>
        <b/>
        <strike val="0"/>
        <outline val="0"/>
        <shadow val="0"/>
        <u val="none"/>
        <vertAlign val="baseline"/>
        <sz val="15"/>
        <name val="Calibri"/>
        <family val="2"/>
        <scheme val="minor"/>
      </font>
      <alignment horizontal="center" vertical="bottom" textRotation="0" wrapText="0" indent="0" justifyLastLine="0" shrinkToFit="0" readingOrder="0"/>
    </dxf>
    <dxf>
      <font>
        <b/>
        <strike val="0"/>
        <outline val="0"/>
        <shadow val="0"/>
        <u val="none"/>
        <vertAlign val="baseline"/>
        <sz val="15"/>
        <name val="Calibri"/>
        <family val="2"/>
        <scheme val="minor"/>
      </font>
      <numFmt numFmtId="19" formatCode="dd/mm/yyyy"/>
      <alignment horizontal="center" vertical="bottom" textRotation="0" wrapText="0" indent="0" justifyLastLine="0" shrinkToFit="0" readingOrder="0"/>
    </dxf>
    <dxf>
      <border outline="0">
        <top style="thin">
          <color auto="1"/>
        </top>
      </border>
    </dxf>
    <dxf>
      <font>
        <b/>
        <strike val="0"/>
        <outline val="0"/>
        <shadow val="0"/>
        <u val="none"/>
        <vertAlign val="baseline"/>
        <sz val="15"/>
        <name val="Calibri"/>
        <family val="2"/>
        <scheme val="minor"/>
      </font>
      <alignment horizontal="center" textRotation="0" wrapText="0" indent="0" justifyLastLine="0" shrinkToFit="0" readingOrder="0"/>
    </dxf>
    <dxf>
      <border outline="0">
        <bottom style="thin">
          <color auto="1"/>
        </bottom>
      </border>
    </dxf>
    <dxf>
      <font>
        <b/>
        <i val="0"/>
        <strike val="0"/>
        <condense val="0"/>
        <extend val="0"/>
        <outline val="0"/>
        <shadow val="0"/>
        <u val="none"/>
        <vertAlign val="baseline"/>
        <sz val="15"/>
        <color rgb="FFFFFFFF"/>
        <name val="Calibri"/>
        <family val="2"/>
        <scheme val="minor"/>
      </font>
      <fill>
        <patternFill patternType="solid">
          <fgColor indexed="64"/>
          <bgColor rgb="FF203764"/>
        </patternFill>
      </fill>
      <alignment horizontal="center" vertical="center" textRotation="0" wrapText="0" indent="0" justifyLastLine="0" shrinkToFit="0" readingOrder="0"/>
      <border diagonalUp="0" diagonalDown="0" outline="0">
        <left style="thin">
          <color auto="1"/>
        </left>
        <right style="thin">
          <color auto="1"/>
        </right>
        <top/>
        <bottom/>
      </border>
    </dxf>
    <dxf>
      <font>
        <b/>
        <strike val="0"/>
        <outline val="0"/>
        <shadow val="0"/>
        <u val="none"/>
        <vertAlign val="baseline"/>
        <sz val="15"/>
        <color theme="1"/>
        <name val="Calibri"/>
        <family val="2"/>
        <scheme val="minor"/>
      </font>
      <alignment horizontal="center" vertical="center" textRotation="0" wrapText="0" indent="0" justifyLastLine="0" shrinkToFit="0" readingOrder="0"/>
    </dxf>
    <dxf>
      <font>
        <b/>
        <strike val="0"/>
        <outline val="0"/>
        <shadow val="0"/>
        <u val="none"/>
        <vertAlign val="baseline"/>
        <sz val="15"/>
        <color theme="1"/>
        <name val="Calibri"/>
        <family val="2"/>
        <scheme val="minor"/>
      </font>
      <alignment horizontal="center" vertical="center" textRotation="0" wrapText="0" indent="0" justifyLastLine="0" shrinkToFit="0" readingOrder="0"/>
    </dxf>
    <dxf>
      <font>
        <b/>
        <i val="0"/>
        <strike val="0"/>
        <condense val="0"/>
        <extend val="0"/>
        <outline val="0"/>
        <shadow val="0"/>
        <u val="none"/>
        <vertAlign val="baseline"/>
        <sz val="15"/>
        <color theme="1"/>
        <name val="Calibri"/>
        <family val="2"/>
        <scheme val="minor"/>
      </font>
      <numFmt numFmtId="13" formatCode="0%"/>
      <alignment horizontal="center" vertical="center" textRotation="0" wrapText="0" indent="0" justifyLastLine="0" shrinkToFit="0" readingOrder="0"/>
    </dxf>
    <dxf>
      <font>
        <b/>
        <strike val="0"/>
        <outline val="0"/>
        <shadow val="0"/>
        <u val="none"/>
        <vertAlign val="baseline"/>
        <sz val="15"/>
        <color theme="1"/>
        <name val="Calibri"/>
        <family val="2"/>
        <scheme val="minor"/>
      </font>
      <alignment horizontal="center" vertical="center" textRotation="0" wrapText="0" indent="0" justifyLastLine="0" shrinkToFit="0" readingOrder="0"/>
    </dxf>
    <dxf>
      <font>
        <b/>
        <strike val="0"/>
        <outline val="0"/>
        <shadow val="0"/>
        <u val="none"/>
        <vertAlign val="baseline"/>
        <sz val="15"/>
        <color theme="1"/>
        <name val="Calibri"/>
        <family val="2"/>
        <scheme val="minor"/>
      </font>
      <alignment horizontal="center" vertical="center" textRotation="0" wrapText="0" indent="0" justifyLastLine="0" shrinkToFit="0" readingOrder="0"/>
    </dxf>
    <dxf>
      <font>
        <b/>
        <strike val="0"/>
        <outline val="0"/>
        <shadow val="0"/>
        <u val="none"/>
        <vertAlign val="baseline"/>
        <sz val="15"/>
        <color theme="1"/>
        <name val="Calibri"/>
        <family val="2"/>
        <scheme val="minor"/>
      </font>
      <numFmt numFmtId="164" formatCode="\R\$\ #,##0.00"/>
      <alignment horizontal="center" vertical="center" textRotation="0" wrapText="0" indent="0" justifyLastLine="0" shrinkToFit="0" readingOrder="0"/>
    </dxf>
    <dxf>
      <font>
        <b/>
        <strike val="0"/>
        <outline val="0"/>
        <shadow val="0"/>
        <u val="none"/>
        <vertAlign val="baseline"/>
        <sz val="15"/>
        <color theme="1"/>
        <name val="Calibri"/>
        <family val="2"/>
        <scheme val="minor"/>
      </font>
      <alignment horizontal="center" vertical="center" textRotation="0" wrapText="0" indent="0" justifyLastLine="0" shrinkToFit="0" readingOrder="0"/>
    </dxf>
    <dxf>
      <font>
        <b/>
        <strike val="0"/>
        <outline val="0"/>
        <shadow val="0"/>
        <u val="none"/>
        <vertAlign val="baseline"/>
        <sz val="15"/>
        <color theme="1"/>
        <name val="Calibri"/>
        <family val="2"/>
        <scheme val="minor"/>
      </font>
      <numFmt numFmtId="164" formatCode="\R\$\ #,##0.00"/>
      <alignment horizontal="center" vertical="center" textRotation="0" wrapText="0" indent="0" justifyLastLine="0" shrinkToFit="0" readingOrder="0"/>
    </dxf>
    <dxf>
      <font>
        <b/>
        <strike val="0"/>
        <outline val="0"/>
        <shadow val="0"/>
        <u val="none"/>
        <vertAlign val="baseline"/>
        <sz val="15"/>
        <color theme="1"/>
        <name val="Calibri"/>
        <family val="2"/>
        <scheme val="minor"/>
      </font>
      <alignment horizontal="center" vertical="center" textRotation="0" wrapText="0" indent="0" justifyLastLine="0" shrinkToFit="0" readingOrder="0"/>
    </dxf>
    <dxf>
      <font>
        <b/>
        <strike val="0"/>
        <outline val="0"/>
        <shadow val="0"/>
        <u val="none"/>
        <vertAlign val="baseline"/>
        <sz val="15"/>
        <color theme="1"/>
        <name val="Calibri"/>
        <family val="2"/>
        <scheme val="minor"/>
      </font>
      <alignment horizontal="center" vertical="center" textRotation="0" wrapText="0" indent="0" justifyLastLine="0" shrinkToFit="0" readingOrder="0"/>
    </dxf>
    <dxf>
      <border outline="0">
        <top style="thin">
          <color auto="1"/>
        </top>
      </border>
    </dxf>
    <dxf>
      <font>
        <b/>
        <strike val="0"/>
        <outline val="0"/>
        <shadow val="0"/>
        <u val="none"/>
        <vertAlign val="baseline"/>
        <sz val="15"/>
        <color theme="1"/>
        <name val="Calibri"/>
        <family val="2"/>
        <scheme val="minor"/>
      </font>
      <alignment horizontal="center" vertical="center" textRotation="0" wrapText="0" indent="0" justifyLastLine="0" shrinkToFit="0" readingOrder="0"/>
    </dxf>
    <dxf>
      <border outline="0">
        <bottom style="thin">
          <color auto="1"/>
        </bottom>
      </border>
    </dxf>
    <dxf>
      <font>
        <b/>
        <i val="0"/>
        <strike val="0"/>
        <condense val="0"/>
        <extend val="0"/>
        <outline val="0"/>
        <shadow val="0"/>
        <u val="none"/>
        <vertAlign val="baseline"/>
        <sz val="15"/>
        <color rgb="FFFFFFFF"/>
        <name val="Calibri"/>
        <family val="2"/>
        <scheme val="minor"/>
      </font>
      <fill>
        <patternFill patternType="solid">
          <fgColor indexed="64"/>
          <bgColor theme="6" tint="-0.499984740745262"/>
        </patternFill>
      </fill>
      <alignment horizontal="center" vertical="center"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4.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3.xml"/><Relationship Id="rId11" Type="http://schemas.openxmlformats.org/officeDocument/2006/relationships/sheetMetadata" Target="metadata.xml"/><Relationship Id="rId5" Type="http://schemas.microsoft.com/office/2007/relationships/slicerCache" Target="slicerCaches/slicerCache2.xml"/><Relationship Id="rId10" Type="http://schemas.openxmlformats.org/officeDocument/2006/relationships/sharedStrings" Target="sharedStrings.xml"/><Relationship Id="rId4" Type="http://schemas.microsoft.com/office/2007/relationships/slicerCache" Target="slicerCaches/slicerCache1.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10</xdr:col>
      <xdr:colOff>9525</xdr:colOff>
      <xdr:row>0</xdr:row>
      <xdr:rowOff>9525</xdr:rowOff>
    </xdr:from>
    <xdr:to>
      <xdr:col>12</xdr:col>
      <xdr:colOff>352425</xdr:colOff>
      <xdr:row>8</xdr:row>
      <xdr:rowOff>19050</xdr:rowOff>
    </xdr:to>
    <mc:AlternateContent xmlns:mc="http://schemas.openxmlformats.org/markup-compatibility/2006" xmlns:sle15="http://schemas.microsoft.com/office/drawing/2012/slicer">
      <mc:Choice Requires="sle15">
        <xdr:graphicFrame macro="">
          <xdr:nvGraphicFramePr>
            <xdr:cNvPr id="2" name="MÊS 1">
              <a:extLst>
                <a:ext uri="{FF2B5EF4-FFF2-40B4-BE49-F238E27FC236}">
                  <a16:creationId xmlns:a16="http://schemas.microsoft.com/office/drawing/2014/main" id="{45DC74FD-71A4-41BD-0F2C-8C5BD1FE04CC}"/>
                </a:ext>
              </a:extLst>
            </xdr:cNvPr>
            <xdr:cNvGraphicFramePr/>
          </xdr:nvGraphicFramePr>
          <xdr:xfrm>
            <a:off x="0" y="0"/>
            <a:ext cx="0" cy="0"/>
          </xdr:xfrm>
          <a:graphic>
            <a:graphicData uri="http://schemas.microsoft.com/office/drawing/2010/slicer">
              <sle:slicer xmlns:sle="http://schemas.microsoft.com/office/drawing/2010/slicer" name="MÊS 1"/>
            </a:graphicData>
          </a:graphic>
        </xdr:graphicFrame>
      </mc:Choice>
      <mc:Fallback xmlns="">
        <xdr:sp macro="" textlink="">
          <xdr:nvSpPr>
            <xdr:cNvPr id="0" name=""/>
            <xdr:cNvSpPr>
              <a:spLocks noTextEdit="1"/>
            </xdr:cNvSpPr>
          </xdr:nvSpPr>
          <xdr:spPr>
            <a:xfrm>
              <a:off x="16049625" y="9525"/>
              <a:ext cx="1562100" cy="2524125"/>
            </a:xfrm>
            <a:prstGeom prst="rect">
              <a:avLst/>
            </a:prstGeom>
            <a:solidFill>
              <a:prstClr val="white"/>
            </a:solidFill>
            <a:ln w="1">
              <a:solidFill>
                <a:prstClr val="green"/>
              </a:solidFill>
            </a:ln>
          </xdr:spPr>
          <xdr:txBody>
            <a:bodyPr vertOverflow="clip" horzOverflow="clip"/>
            <a:lstStyle/>
            <a:p>
              <a:r>
                <a:rPr lang="pt-BR"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7</xdr:col>
      <xdr:colOff>19050</xdr:colOff>
      <xdr:row>4</xdr:row>
      <xdr:rowOff>57150</xdr:rowOff>
    </xdr:from>
    <xdr:to>
      <xdr:col>10</xdr:col>
      <xdr:colOff>19050</xdr:colOff>
      <xdr:row>12</xdr:row>
      <xdr:rowOff>66675</xdr:rowOff>
    </xdr:to>
    <mc:AlternateContent xmlns:mc="http://schemas.openxmlformats.org/markup-compatibility/2006" xmlns:sle15="http://schemas.microsoft.com/office/drawing/2012/slicer">
      <mc:Choice Requires="sle15">
        <xdr:graphicFrame macro="">
          <xdr:nvGraphicFramePr>
            <xdr:cNvPr id="2" name="MÊS">
              <a:extLst>
                <a:ext uri="{FF2B5EF4-FFF2-40B4-BE49-F238E27FC236}">
                  <a16:creationId xmlns:a16="http://schemas.microsoft.com/office/drawing/2014/main" id="{E5957A9C-070D-6BDC-AFC2-C81E5C749810}"/>
                </a:ext>
              </a:extLst>
            </xdr:cNvPr>
            <xdr:cNvGraphicFramePr/>
          </xdr:nvGraphicFramePr>
          <xdr:xfrm>
            <a:off x="0" y="0"/>
            <a:ext cx="0" cy="0"/>
          </xdr:xfrm>
          <a:graphic>
            <a:graphicData uri="http://schemas.microsoft.com/office/drawing/2010/slicer">
              <sle:slicer xmlns:sle="http://schemas.microsoft.com/office/drawing/2010/slicer" name="MÊS"/>
            </a:graphicData>
          </a:graphic>
        </xdr:graphicFrame>
      </mc:Choice>
      <mc:Fallback xmlns="">
        <xdr:sp macro="" textlink="">
          <xdr:nvSpPr>
            <xdr:cNvPr id="0" name=""/>
            <xdr:cNvSpPr>
              <a:spLocks noTextEdit="1"/>
            </xdr:cNvSpPr>
          </xdr:nvSpPr>
          <xdr:spPr>
            <a:xfrm>
              <a:off x="12020550" y="1314450"/>
              <a:ext cx="1828800" cy="2524125"/>
            </a:xfrm>
            <a:prstGeom prst="rect">
              <a:avLst/>
            </a:prstGeom>
            <a:solidFill>
              <a:prstClr val="white"/>
            </a:solidFill>
            <a:ln w="1">
              <a:solidFill>
                <a:prstClr val="green"/>
              </a:solidFill>
            </a:ln>
          </xdr:spPr>
          <xdr:txBody>
            <a:bodyPr vertOverflow="clip" horzOverflow="clip"/>
            <a:lstStyle/>
            <a:p>
              <a:r>
                <a:rPr lang="pt-BR"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0</xdr:colOff>
      <xdr:row>12</xdr:row>
      <xdr:rowOff>76200</xdr:rowOff>
    </xdr:from>
    <xdr:to>
      <xdr:col>13</xdr:col>
      <xdr:colOff>0</xdr:colOff>
      <xdr:row>20</xdr:row>
      <xdr:rowOff>85725</xdr:rowOff>
    </xdr:to>
    <mc:AlternateContent xmlns:mc="http://schemas.openxmlformats.org/markup-compatibility/2006" xmlns:sle15="http://schemas.microsoft.com/office/drawing/2012/slicer">
      <mc:Choice Requires="sle15">
        <xdr:graphicFrame macro="">
          <xdr:nvGraphicFramePr>
            <xdr:cNvPr id="3" name="COLEGA">
              <a:extLst>
                <a:ext uri="{FF2B5EF4-FFF2-40B4-BE49-F238E27FC236}">
                  <a16:creationId xmlns:a16="http://schemas.microsoft.com/office/drawing/2014/main" id="{B3042FAC-4506-528E-AC39-7B7ACEF6C9E0}"/>
                </a:ext>
              </a:extLst>
            </xdr:cNvPr>
            <xdr:cNvGraphicFramePr/>
          </xdr:nvGraphicFramePr>
          <xdr:xfrm>
            <a:off x="0" y="0"/>
            <a:ext cx="0" cy="0"/>
          </xdr:xfrm>
          <a:graphic>
            <a:graphicData uri="http://schemas.microsoft.com/office/drawing/2010/slicer">
              <sle:slicer xmlns:sle="http://schemas.microsoft.com/office/drawing/2010/slicer" name="COLEGA"/>
            </a:graphicData>
          </a:graphic>
        </xdr:graphicFrame>
      </mc:Choice>
      <mc:Fallback xmlns="">
        <xdr:sp macro="" textlink="">
          <xdr:nvSpPr>
            <xdr:cNvPr id="0" name=""/>
            <xdr:cNvSpPr>
              <a:spLocks noTextEdit="1"/>
            </xdr:cNvSpPr>
          </xdr:nvSpPr>
          <xdr:spPr>
            <a:xfrm>
              <a:off x="13830300" y="3848100"/>
              <a:ext cx="1828800" cy="2524125"/>
            </a:xfrm>
            <a:prstGeom prst="rect">
              <a:avLst/>
            </a:prstGeom>
            <a:solidFill>
              <a:prstClr val="white"/>
            </a:solidFill>
            <a:ln w="1">
              <a:solidFill>
                <a:prstClr val="green"/>
              </a:solidFill>
            </a:ln>
          </xdr:spPr>
          <xdr:txBody>
            <a:bodyPr vertOverflow="clip" horzOverflow="clip"/>
            <a:lstStyle/>
            <a:p>
              <a:r>
                <a:rPr lang="pt-BR"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19050</xdr:colOff>
      <xdr:row>12</xdr:row>
      <xdr:rowOff>76200</xdr:rowOff>
    </xdr:from>
    <xdr:to>
      <xdr:col>10</xdr:col>
      <xdr:colOff>19050</xdr:colOff>
      <xdr:row>20</xdr:row>
      <xdr:rowOff>85725</xdr:rowOff>
    </xdr:to>
    <mc:AlternateContent xmlns:mc="http://schemas.openxmlformats.org/markup-compatibility/2006" xmlns:sle15="http://schemas.microsoft.com/office/drawing/2012/slicer">
      <mc:Choice Requires="sle15">
        <xdr:graphicFrame macro="">
          <xdr:nvGraphicFramePr>
            <xdr:cNvPr id="4" name="PRODUTO">
              <a:extLst>
                <a:ext uri="{FF2B5EF4-FFF2-40B4-BE49-F238E27FC236}">
                  <a16:creationId xmlns:a16="http://schemas.microsoft.com/office/drawing/2014/main" id="{6DE10D3F-13D2-2EA1-95BA-23811A858A00}"/>
                </a:ext>
              </a:extLst>
            </xdr:cNvPr>
            <xdr:cNvGraphicFramePr/>
          </xdr:nvGraphicFramePr>
          <xdr:xfrm>
            <a:off x="0" y="0"/>
            <a:ext cx="0" cy="0"/>
          </xdr:xfrm>
          <a:graphic>
            <a:graphicData uri="http://schemas.microsoft.com/office/drawing/2010/slicer">
              <sle:slicer xmlns:sle="http://schemas.microsoft.com/office/drawing/2010/slicer" name="PRODUTO"/>
            </a:graphicData>
          </a:graphic>
        </xdr:graphicFrame>
      </mc:Choice>
      <mc:Fallback xmlns="">
        <xdr:sp macro="" textlink="">
          <xdr:nvSpPr>
            <xdr:cNvPr id="0" name=""/>
            <xdr:cNvSpPr>
              <a:spLocks noTextEdit="1"/>
            </xdr:cNvSpPr>
          </xdr:nvSpPr>
          <xdr:spPr>
            <a:xfrm>
              <a:off x="12020550" y="3848100"/>
              <a:ext cx="1828800" cy="2524125"/>
            </a:xfrm>
            <a:prstGeom prst="rect">
              <a:avLst/>
            </a:prstGeom>
            <a:solidFill>
              <a:prstClr val="white"/>
            </a:solidFill>
            <a:ln w="1">
              <a:solidFill>
                <a:prstClr val="green"/>
              </a:solidFill>
            </a:ln>
          </xdr:spPr>
          <xdr:txBody>
            <a:bodyPr vertOverflow="clip" horzOverflow="clip"/>
            <a:lstStyle/>
            <a:p>
              <a:r>
                <a:rPr lang="pt-BR"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ÊS" xr10:uid="{B9178D14-92D4-4F8E-8176-E4C27996A7F3}" sourceName="MÊS">
  <extLst>
    <x:ext xmlns:x15="http://schemas.microsoft.com/office/spreadsheetml/2010/11/main" uri="{2F2917AC-EB37-4324-AD4E-5DD8C200BD13}">
      <x15:tableSlicerCache tableId="2"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EGA" xr10:uid="{84D9BD4F-6291-43EC-9684-27921B34494F}" sourceName="COLEGA">
  <extLst>
    <x:ext xmlns:x15="http://schemas.microsoft.com/office/spreadsheetml/2010/11/main" uri="{2F2917AC-EB37-4324-AD4E-5DD8C200BD13}">
      <x15:tableSlicerCache tableId="2"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TO" xr10:uid="{3BF1E873-AD9E-4973-9EA4-41009C921B7B}" sourceName="PRODUTO">
  <extLst>
    <x:ext xmlns:x15="http://schemas.microsoft.com/office/spreadsheetml/2010/11/main" uri="{2F2917AC-EB37-4324-AD4E-5DD8C200BD13}">
      <x15:tableSlicerCache tableId="2" column="5"/>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ÊS1" xr10:uid="{D5992625-D3D7-42F6-88BD-871716CE97C5}" sourceName="MÊS">
  <extLst>
    <x:ext xmlns:x15="http://schemas.microsoft.com/office/spreadsheetml/2010/11/main" uri="{2F2917AC-EB37-4324-AD4E-5DD8C200BD13}">
      <x15:tableSlicerCache tableId="1" column="10"/>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ÊS 1" xr10:uid="{797F0C13-207C-4BB0-B628-B7BB7090F360}" cache="Slicer_MÊS1" caption="MÊS"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ÊS" xr10:uid="{B4CA34CB-7E37-4306-ACC3-00276917606C}" cache="Slicer_MÊS" caption="MÊS" rowHeight="241300"/>
  <slicer name="COLEGA" xr10:uid="{09A1A981-990E-4620-8DBD-0099865121AC}" cache="Slicer_COLEGA" caption="COLEGA" rowHeight="241300"/>
  <slicer name="PRODUTO" xr10:uid="{502AD29F-0CCE-43B3-BEFA-1604318D3AC1}" cache="Slicer_PRODUTO" caption="PRODUTO"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D9AC082-FB90-437E-85E5-44EB0FDA79A0}" name="Table1" displayName="Table1" ref="A1:J100" totalsRowShown="0" headerRowDxfId="32" dataDxfId="30" headerRowBorderDxfId="31" tableBorderDxfId="29">
  <autoFilter ref="A1:J100" xr:uid="{00000000-0009-0000-0000-000000000000}"/>
  <tableColumns count="10">
    <tableColumn id="1" xr3:uid="{659CC7DB-490F-4FCF-A934-327BB199624C}" name="ID" dataDxfId="28">
      <calculatedColumnFormula>IF(B2&lt;&gt;"", ROW()-1, "")</calculatedColumnFormula>
    </tableColumn>
    <tableColumn id="2" xr3:uid="{169A42D0-5E5F-4BC8-80A1-4F16D1E93496}" name="PRODUTO" dataDxfId="27"/>
    <tableColumn id="3" xr3:uid="{B9F9AC34-D998-472B-98B4-2B82B4874B73}" name="VALOR UNITÁRIO" dataDxfId="26"/>
    <tableColumn id="4" xr3:uid="{45067404-C582-44F5-AA07-6F94E6411AE3}" name="ENTRADAS (Qtd)" dataDxfId="25"/>
    <tableColumn id="5" xr3:uid="{9DF8EDBB-F505-4175-9273-798451CC8071}" name="CUSTO TOTAL" dataDxfId="24">
      <calculatedColumnFormula>IF(B2="","", C2*D2)</calculatedColumnFormula>
    </tableColumn>
    <tableColumn id="6" xr3:uid="{2CDDFC62-943C-434C-A7EB-5287DC911D97}" name="SAÍDAS (Auto)" dataDxfId="23">
      <calculatedColumnFormula>IF(B2="","", SUMIF(Movimentação!E:E, B2, Movimentação!F:F))</calculatedColumnFormula>
    </tableColumn>
    <tableColumn id="7" xr3:uid="{B5B1455E-3AAC-44D5-9567-D9372BE52B44}" name="ESTOQUE ATUAL" dataDxfId="22">
      <calculatedColumnFormula>IF(B2="","", D2 - F2)</calculatedColumnFormula>
    </tableColumn>
    <tableColumn id="8" xr3:uid="{8E9BB784-A9A6-4952-A7A1-FB90FF6D303F}" name="% EM ESTOQUE" dataDxfId="21">
      <calculatedColumnFormula>IF(OR(B2="", D2="", D2=0), "", G2/D2)</calculatedColumnFormula>
    </tableColumn>
    <tableColumn id="9" xr3:uid="{B3E0B429-6D86-4A69-B11D-8A7E5A8B9023}" name="STATUS" dataDxfId="20">
      <calculatedColumnFormula>IF(G2="","", IF(G2&lt;0, "🚨 NEGATIVO", IF(G2&lt;=3, "⚠️ BAIXO", "✅ OK")))</calculatedColumnFormula>
    </tableColumn>
    <tableColumn id="10" xr3:uid="{CBF49AD5-F0CF-420C-B8F4-C1949AAAB46A}" name="MÊS" dataDxfId="19"/>
  </tableColumns>
  <tableStyleInfo name="TableStyleMedium1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8A58B2-5958-4E04-8E25-8117F6FCFDFB}" name="Table2" displayName="Table2" ref="A1:G500" totalsRowShown="0" headerRowDxfId="18" dataDxfId="16" headerRowBorderDxfId="17" tableBorderDxfId="15">
  <autoFilter ref="A1:G500" xr:uid="{00000000-0009-0000-0000-000001000000}"/>
  <tableColumns count="7">
    <tableColumn id="1" xr3:uid="{6A172954-EDA6-4D9E-A1A3-6C876B173B6F}" name="DATA" dataDxfId="14"/>
    <tableColumn id="2" xr3:uid="{897BB78B-D3E1-445F-BEBB-59027A5B988D}" name="MÊS" dataDxfId="13">
      <calculatedColumnFormula>IF(A2="","", MONTH(A2))</calculatedColumnFormula>
    </tableColumn>
    <tableColumn id="3" xr3:uid="{A1D05FF7-AA55-4336-9405-63A63E0772F0}" name="COLEGA" dataDxfId="12"/>
    <tableColumn id="4" xr3:uid="{246D3547-E294-4584-9E56-D37C036097E3}" name="EMPRESA CLIENTE" dataDxfId="11"/>
    <tableColumn id="5" xr3:uid="{A90D9530-C712-4174-9A02-6F850C44BDC2}" name="PRODUTO" dataDxfId="10"/>
    <tableColumn id="6" xr3:uid="{0B305FCB-CE6A-48F8-BB32-9B372739EA88}" name="QTD SAÍDA" dataDxfId="9"/>
    <tableColumn id="7" xr3:uid="{F6706A96-EE8E-4CCF-AC43-6F7D2DECCC95}" name="TOTAL GASTO" dataDxfId="8">
      <calculatedColumnFormula>IF(ISBLANK(E2), "", F2 * VLOOKUP(E2, Estoque_Cadastro!$B$2:$C$100, 2, FALSE))</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C3B5358-5716-4899-AEEA-C3C07810E881}" name="Table3" displayName="Table3" ref="A1:D97" totalsRowShown="0" headerRowDxfId="7" dataDxfId="5" headerRowBorderDxfId="6" tableBorderDxfId="4">
  <autoFilter ref="A1:D97" xr:uid="{00000000-0009-0000-0000-000002000000}"/>
  <tableColumns count="4">
    <tableColumn id="1" xr3:uid="{784ADF22-EBBE-40AC-8B32-172F43EA549E}" name="COLEGA" dataDxfId="3">
      <calculatedColumnFormula array="1">IFERROR(_xlfn.UNIQUE(_xlfn._xlws.FILTER(Movimentação!C2:C500, Movimentação!C2:C500&lt;&gt;"")), "")</calculatedColumnFormula>
    </tableColumn>
    <tableColumn id="2" xr3:uid="{82295699-EAB9-4708-9E36-2894AC36EA5A}" name="TOTAL INDIVIDUAL" dataDxfId="2">
      <calculatedColumnFormula>IF(A2="","", SUMIF(Movimentação!C:C, A2, Movimentação!G:G))</calculatedColumnFormula>
    </tableColumn>
    <tableColumn id="3" xr3:uid="{8B9283A8-BC66-4C43-8E35-649271C82CB9}" name="QTD ITENS" dataDxfId="1">
      <calculatedColumnFormula>IF(A2="","", SUMIF(Movimentação!C:C, A2, Movimentação!F:F))</calculatedColumnFormula>
    </tableColumn>
    <tableColumn id="4" xr3:uid="{929945C6-E38E-4A59-BBF3-22A059FB55C4}" name="PRODUTOS" dataDxfId="0">
      <calculatedColumnFormula array="1">IF(A2="","", _xlfn.TEXTJOIN(", ", TRUE, _xlfn.UNIQUE(_xlfn._xlws.FILTER(Movimentação!$E$2:$E$500, Movimentação!$C$2:$C$500=A2))))</calculatedColumnFormula>
    </tableColumn>
  </tableColumns>
  <tableStyleInfo name="TableStyleMedium10"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table" Target="../tables/table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0"/>
  <sheetViews>
    <sheetView tabSelected="1" workbookViewId="0">
      <selection activeCell="I2" sqref="I2"/>
    </sheetView>
  </sheetViews>
  <sheetFormatPr defaultRowHeight="15" x14ac:dyDescent="0.25"/>
  <cols>
    <col min="1" max="1" width="25.7109375" style="1" customWidth="1"/>
    <col min="2" max="2" width="25.7109375" customWidth="1"/>
    <col min="3" max="3" width="25.7109375" style="2" customWidth="1"/>
    <col min="4" max="4" width="25.7109375" style="1" customWidth="1"/>
    <col min="5" max="5" width="25.7109375" style="2" customWidth="1"/>
    <col min="6" max="7" width="25.7109375" style="1" customWidth="1"/>
    <col min="8" max="8" width="25.7109375" style="3" customWidth="1"/>
    <col min="9" max="9" width="25.7109375" style="1" customWidth="1"/>
  </cols>
  <sheetData>
    <row r="1" spans="1:10" ht="24.95" customHeight="1" x14ac:dyDescent="0.25">
      <c r="A1" s="4" t="s">
        <v>0</v>
      </c>
      <c r="B1" s="4" t="s">
        <v>1</v>
      </c>
      <c r="C1" s="4" t="s">
        <v>2</v>
      </c>
      <c r="D1" s="4" t="s">
        <v>3</v>
      </c>
      <c r="E1" s="4" t="s">
        <v>17</v>
      </c>
      <c r="F1" s="4" t="s">
        <v>4</v>
      </c>
      <c r="G1" s="4" t="s">
        <v>5</v>
      </c>
      <c r="H1" s="4" t="s">
        <v>6</v>
      </c>
      <c r="I1" s="4" t="s">
        <v>7</v>
      </c>
      <c r="J1" s="4" t="s">
        <v>9</v>
      </c>
    </row>
    <row r="2" spans="1:10" ht="24.95" customHeight="1" x14ac:dyDescent="0.25">
      <c r="A2" s="12" t="str">
        <f t="shared" ref="A2:A33" si="0">IF(B2&lt;&gt;"", ROW()-1, "")</f>
        <v/>
      </c>
      <c r="B2" s="12"/>
      <c r="C2" s="13"/>
      <c r="D2" s="12"/>
      <c r="E2" s="13" t="str">
        <f t="shared" ref="E2:E33" si="1">IF(B2="","", C2*D2)</f>
        <v/>
      </c>
      <c r="F2" s="12" t="str">
        <f>IF(B2="","", SUMIF(Movimentação!E:E, B2, Movimentação!F:F))</f>
        <v/>
      </c>
      <c r="G2" s="12" t="str">
        <f t="shared" ref="G2:G33" si="2">IF(B2="","", D2 - F2)</f>
        <v/>
      </c>
      <c r="H2" s="10" t="str">
        <f t="shared" ref="H2:H33" si="3">IF(OR(B2="", D2="", D2=0), "", G2/D2)</f>
        <v/>
      </c>
      <c r="I2" s="12" t="str">
        <f t="shared" ref="I2:I33" si="4">IF(G2="","", IF(G2&lt;0, "🚨 NEGATIVO", IF(G2&lt;=3, "⚠️ BAIXO", "✅ OK")))</f>
        <v/>
      </c>
      <c r="J2" s="12"/>
    </row>
    <row r="3" spans="1:10" ht="24.95" customHeight="1" x14ac:dyDescent="0.25">
      <c r="A3" s="12" t="str">
        <f t="shared" si="0"/>
        <v/>
      </c>
      <c r="B3" s="12"/>
      <c r="C3" s="13"/>
      <c r="D3" s="12"/>
      <c r="E3" s="13" t="str">
        <f t="shared" si="1"/>
        <v/>
      </c>
      <c r="F3" s="12" t="str">
        <f>IF(B3="","", SUMIF(Movimentação!E:E, B3, Movimentação!F:F))</f>
        <v/>
      </c>
      <c r="G3" s="12" t="str">
        <f t="shared" si="2"/>
        <v/>
      </c>
      <c r="H3" s="10" t="str">
        <f t="shared" si="3"/>
        <v/>
      </c>
      <c r="I3" s="12" t="str">
        <f t="shared" si="4"/>
        <v/>
      </c>
      <c r="J3" s="12"/>
    </row>
    <row r="4" spans="1:10" ht="24.95" customHeight="1" x14ac:dyDescent="0.25">
      <c r="A4" s="12" t="str">
        <f t="shared" si="0"/>
        <v/>
      </c>
      <c r="B4" s="12"/>
      <c r="C4" s="13"/>
      <c r="D4" s="12"/>
      <c r="E4" s="13" t="str">
        <f t="shared" si="1"/>
        <v/>
      </c>
      <c r="F4" s="12" t="str">
        <f>IF(B4="","", SUMIF(Movimentação!E:E, B4, Movimentação!F:F))</f>
        <v/>
      </c>
      <c r="G4" s="12" t="str">
        <f t="shared" si="2"/>
        <v/>
      </c>
      <c r="H4" s="10" t="str">
        <f t="shared" si="3"/>
        <v/>
      </c>
      <c r="I4" s="12" t="str">
        <f t="shared" si="4"/>
        <v/>
      </c>
      <c r="J4" s="12"/>
    </row>
    <row r="5" spans="1:10" ht="24.95" customHeight="1" x14ac:dyDescent="0.25">
      <c r="A5" s="12" t="str">
        <f t="shared" si="0"/>
        <v/>
      </c>
      <c r="B5" s="12"/>
      <c r="C5" s="13"/>
      <c r="D5" s="12"/>
      <c r="E5" s="13" t="str">
        <f t="shared" si="1"/>
        <v/>
      </c>
      <c r="F5" s="12" t="str">
        <f>IF(B5="","", SUMIF(Movimentação!E:E, B5, Movimentação!F:F))</f>
        <v/>
      </c>
      <c r="G5" s="12" t="str">
        <f t="shared" si="2"/>
        <v/>
      </c>
      <c r="H5" s="10" t="str">
        <f t="shared" si="3"/>
        <v/>
      </c>
      <c r="I5" s="12" t="str">
        <f t="shared" si="4"/>
        <v/>
      </c>
      <c r="J5" s="12"/>
    </row>
    <row r="6" spans="1:10" ht="24.95" customHeight="1" x14ac:dyDescent="0.25">
      <c r="A6" s="12" t="str">
        <f t="shared" si="0"/>
        <v/>
      </c>
      <c r="B6" s="12"/>
      <c r="C6" s="13"/>
      <c r="D6" s="12"/>
      <c r="E6" s="13" t="str">
        <f t="shared" si="1"/>
        <v/>
      </c>
      <c r="F6" s="12" t="str">
        <f>IF(B6="","", SUMIF(Movimentação!E:E, B6, Movimentação!F:F))</f>
        <v/>
      </c>
      <c r="G6" s="12" t="str">
        <f t="shared" si="2"/>
        <v/>
      </c>
      <c r="H6" s="10" t="str">
        <f t="shared" si="3"/>
        <v/>
      </c>
      <c r="I6" s="12" t="str">
        <f t="shared" si="4"/>
        <v/>
      </c>
      <c r="J6" s="12"/>
    </row>
    <row r="7" spans="1:10" ht="24.95" customHeight="1" x14ac:dyDescent="0.25">
      <c r="A7" s="12" t="str">
        <f t="shared" si="0"/>
        <v/>
      </c>
      <c r="B7" s="12"/>
      <c r="C7" s="13"/>
      <c r="D7" s="12"/>
      <c r="E7" s="13" t="str">
        <f t="shared" si="1"/>
        <v/>
      </c>
      <c r="F7" s="12" t="str">
        <f>IF(B7="","", SUMIF(Movimentação!E:E, B7, Movimentação!F:F))</f>
        <v/>
      </c>
      <c r="G7" s="12" t="str">
        <f t="shared" si="2"/>
        <v/>
      </c>
      <c r="H7" s="10" t="str">
        <f t="shared" si="3"/>
        <v/>
      </c>
      <c r="I7" s="12" t="str">
        <f t="shared" si="4"/>
        <v/>
      </c>
      <c r="J7" s="12"/>
    </row>
    <row r="8" spans="1:10" ht="24.95" customHeight="1" x14ac:dyDescent="0.25">
      <c r="A8" s="12" t="str">
        <f t="shared" si="0"/>
        <v/>
      </c>
      <c r="B8" s="12"/>
      <c r="C8" s="13"/>
      <c r="D8" s="12"/>
      <c r="E8" s="13" t="str">
        <f t="shared" si="1"/>
        <v/>
      </c>
      <c r="F8" s="12" t="str">
        <f>IF(B8="","", SUMIF(Movimentação!E:E, B8, Movimentação!F:F))</f>
        <v/>
      </c>
      <c r="G8" s="12" t="str">
        <f t="shared" si="2"/>
        <v/>
      </c>
      <c r="H8" s="10" t="str">
        <f t="shared" si="3"/>
        <v/>
      </c>
      <c r="I8" s="12" t="str">
        <f t="shared" si="4"/>
        <v/>
      </c>
      <c r="J8" s="12"/>
    </row>
    <row r="9" spans="1:10" ht="24.95" customHeight="1" x14ac:dyDescent="0.25">
      <c r="A9" s="12" t="str">
        <f t="shared" si="0"/>
        <v/>
      </c>
      <c r="B9" s="12"/>
      <c r="C9" s="13"/>
      <c r="D9" s="12"/>
      <c r="E9" s="13" t="str">
        <f t="shared" si="1"/>
        <v/>
      </c>
      <c r="F9" s="12" t="str">
        <f>IF(B9="","", SUMIF(Movimentação!E:E, B9, Movimentação!F:F))</f>
        <v/>
      </c>
      <c r="G9" s="12" t="str">
        <f t="shared" si="2"/>
        <v/>
      </c>
      <c r="H9" s="10" t="str">
        <f t="shared" si="3"/>
        <v/>
      </c>
      <c r="I9" s="12" t="str">
        <f t="shared" si="4"/>
        <v/>
      </c>
      <c r="J9" s="12"/>
    </row>
    <row r="10" spans="1:10" ht="24.95" customHeight="1" x14ac:dyDescent="0.25">
      <c r="A10" s="12" t="str">
        <f t="shared" si="0"/>
        <v/>
      </c>
      <c r="B10" s="12"/>
      <c r="C10" s="13"/>
      <c r="D10" s="12"/>
      <c r="E10" s="13" t="str">
        <f t="shared" si="1"/>
        <v/>
      </c>
      <c r="F10" s="12" t="str">
        <f>IF(B10="","", SUMIF(Movimentação!E:E, B10, Movimentação!F:F))</f>
        <v/>
      </c>
      <c r="G10" s="12" t="str">
        <f t="shared" si="2"/>
        <v/>
      </c>
      <c r="H10" s="10" t="str">
        <f t="shared" si="3"/>
        <v/>
      </c>
      <c r="I10" s="12" t="str">
        <f t="shared" si="4"/>
        <v/>
      </c>
      <c r="J10" s="12"/>
    </row>
    <row r="11" spans="1:10" ht="24.95" customHeight="1" x14ac:dyDescent="0.25">
      <c r="A11" s="12" t="str">
        <f t="shared" si="0"/>
        <v/>
      </c>
      <c r="B11" s="12"/>
      <c r="C11" s="13"/>
      <c r="D11" s="12"/>
      <c r="E11" s="13" t="str">
        <f t="shared" si="1"/>
        <v/>
      </c>
      <c r="F11" s="12" t="str">
        <f>IF(B11="","", SUMIF(Movimentação!E:E, B11, Movimentação!F:F))</f>
        <v/>
      </c>
      <c r="G11" s="12" t="str">
        <f t="shared" si="2"/>
        <v/>
      </c>
      <c r="H11" s="10" t="str">
        <f t="shared" si="3"/>
        <v/>
      </c>
      <c r="I11" s="12" t="str">
        <f t="shared" si="4"/>
        <v/>
      </c>
      <c r="J11" s="12"/>
    </row>
    <row r="12" spans="1:10" ht="24.95" customHeight="1" x14ac:dyDescent="0.25">
      <c r="A12" s="12" t="str">
        <f t="shared" si="0"/>
        <v/>
      </c>
      <c r="B12" s="12"/>
      <c r="C12" s="13"/>
      <c r="D12" s="12"/>
      <c r="E12" s="13" t="str">
        <f t="shared" si="1"/>
        <v/>
      </c>
      <c r="F12" s="12" t="str">
        <f>IF(B12="","", SUMIF(Movimentação!E:E, B12, Movimentação!F:F))</f>
        <v/>
      </c>
      <c r="G12" s="12" t="str">
        <f t="shared" si="2"/>
        <v/>
      </c>
      <c r="H12" s="10" t="str">
        <f t="shared" si="3"/>
        <v/>
      </c>
      <c r="I12" s="12" t="str">
        <f t="shared" si="4"/>
        <v/>
      </c>
      <c r="J12" s="12"/>
    </row>
    <row r="13" spans="1:10" ht="24.95" customHeight="1" x14ac:dyDescent="0.25">
      <c r="A13" s="12" t="str">
        <f t="shared" si="0"/>
        <v/>
      </c>
      <c r="B13" s="12"/>
      <c r="C13" s="13"/>
      <c r="D13" s="12"/>
      <c r="E13" s="13" t="str">
        <f t="shared" si="1"/>
        <v/>
      </c>
      <c r="F13" s="12" t="str">
        <f>IF(B13="","", SUMIF(Movimentação!E:E, B13, Movimentação!F:F))</f>
        <v/>
      </c>
      <c r="G13" s="12" t="str">
        <f t="shared" si="2"/>
        <v/>
      </c>
      <c r="H13" s="10" t="str">
        <f t="shared" si="3"/>
        <v/>
      </c>
      <c r="I13" s="12" t="str">
        <f t="shared" si="4"/>
        <v/>
      </c>
      <c r="J13" s="12"/>
    </row>
    <row r="14" spans="1:10" ht="24.95" customHeight="1" x14ac:dyDescent="0.25">
      <c r="A14" s="12" t="str">
        <f t="shared" si="0"/>
        <v/>
      </c>
      <c r="B14" s="12"/>
      <c r="C14" s="13"/>
      <c r="D14" s="12"/>
      <c r="E14" s="13" t="str">
        <f t="shared" si="1"/>
        <v/>
      </c>
      <c r="F14" s="12" t="str">
        <f>IF(B14="","", SUMIF(Movimentação!E:E, B14, Movimentação!F:F))</f>
        <v/>
      </c>
      <c r="G14" s="12" t="str">
        <f t="shared" si="2"/>
        <v/>
      </c>
      <c r="H14" s="10" t="str">
        <f t="shared" si="3"/>
        <v/>
      </c>
      <c r="I14" s="12" t="str">
        <f t="shared" si="4"/>
        <v/>
      </c>
      <c r="J14" s="12"/>
    </row>
    <row r="15" spans="1:10" ht="24.95" customHeight="1" x14ac:dyDescent="0.25">
      <c r="A15" s="12" t="str">
        <f t="shared" si="0"/>
        <v/>
      </c>
      <c r="B15" s="12"/>
      <c r="C15" s="13"/>
      <c r="D15" s="12"/>
      <c r="E15" s="13" t="str">
        <f t="shared" si="1"/>
        <v/>
      </c>
      <c r="F15" s="12" t="str">
        <f>IF(B15="","", SUMIF(Movimentação!E:E, B15, Movimentação!F:F))</f>
        <v/>
      </c>
      <c r="G15" s="12" t="str">
        <f t="shared" si="2"/>
        <v/>
      </c>
      <c r="H15" s="10" t="str">
        <f t="shared" si="3"/>
        <v/>
      </c>
      <c r="I15" s="12" t="str">
        <f t="shared" si="4"/>
        <v/>
      </c>
      <c r="J15" s="12"/>
    </row>
    <row r="16" spans="1:10" ht="24.95" customHeight="1" x14ac:dyDescent="0.25">
      <c r="A16" s="12" t="str">
        <f t="shared" si="0"/>
        <v/>
      </c>
      <c r="B16" s="12"/>
      <c r="C16" s="13"/>
      <c r="D16" s="12"/>
      <c r="E16" s="13" t="str">
        <f t="shared" si="1"/>
        <v/>
      </c>
      <c r="F16" s="12" t="str">
        <f>IF(B16="","", SUMIF(Movimentação!E:E, B16, Movimentação!F:F))</f>
        <v/>
      </c>
      <c r="G16" s="12" t="str">
        <f t="shared" si="2"/>
        <v/>
      </c>
      <c r="H16" s="10" t="str">
        <f t="shared" si="3"/>
        <v/>
      </c>
      <c r="I16" s="12" t="str">
        <f t="shared" si="4"/>
        <v/>
      </c>
      <c r="J16" s="12"/>
    </row>
    <row r="17" spans="1:10" ht="24.95" customHeight="1" x14ac:dyDescent="0.25">
      <c r="A17" s="12" t="str">
        <f t="shared" si="0"/>
        <v/>
      </c>
      <c r="B17" s="12"/>
      <c r="C17" s="13"/>
      <c r="D17" s="12"/>
      <c r="E17" s="13" t="str">
        <f t="shared" si="1"/>
        <v/>
      </c>
      <c r="F17" s="12" t="str">
        <f>IF(B17="","", SUMIF(Movimentação!E:E, B17, Movimentação!F:F))</f>
        <v/>
      </c>
      <c r="G17" s="12" t="str">
        <f t="shared" si="2"/>
        <v/>
      </c>
      <c r="H17" s="10" t="str">
        <f t="shared" si="3"/>
        <v/>
      </c>
      <c r="I17" s="12" t="str">
        <f t="shared" si="4"/>
        <v/>
      </c>
      <c r="J17" s="12"/>
    </row>
    <row r="18" spans="1:10" ht="24.95" customHeight="1" x14ac:dyDescent="0.25">
      <c r="A18" s="12" t="str">
        <f t="shared" si="0"/>
        <v/>
      </c>
      <c r="B18" s="12"/>
      <c r="C18" s="13"/>
      <c r="D18" s="12"/>
      <c r="E18" s="13" t="str">
        <f t="shared" si="1"/>
        <v/>
      </c>
      <c r="F18" s="12" t="str">
        <f>IF(B18="","", SUMIF(Movimentação!E:E, B18, Movimentação!F:F))</f>
        <v/>
      </c>
      <c r="G18" s="12" t="str">
        <f t="shared" si="2"/>
        <v/>
      </c>
      <c r="H18" s="10" t="str">
        <f t="shared" si="3"/>
        <v/>
      </c>
      <c r="I18" s="12" t="str">
        <f t="shared" si="4"/>
        <v/>
      </c>
      <c r="J18" s="12"/>
    </row>
    <row r="19" spans="1:10" ht="24.95" customHeight="1" x14ac:dyDescent="0.25">
      <c r="A19" s="12" t="str">
        <f t="shared" si="0"/>
        <v/>
      </c>
      <c r="B19" s="12"/>
      <c r="C19" s="13"/>
      <c r="D19" s="12"/>
      <c r="E19" s="13" t="str">
        <f t="shared" si="1"/>
        <v/>
      </c>
      <c r="F19" s="12" t="str">
        <f>IF(B19="","", SUMIF(Movimentação!E:E, B19, Movimentação!F:F))</f>
        <v/>
      </c>
      <c r="G19" s="12" t="str">
        <f t="shared" si="2"/>
        <v/>
      </c>
      <c r="H19" s="10" t="str">
        <f t="shared" si="3"/>
        <v/>
      </c>
      <c r="I19" s="12" t="str">
        <f t="shared" si="4"/>
        <v/>
      </c>
      <c r="J19" s="12"/>
    </row>
    <row r="20" spans="1:10" ht="24.95" customHeight="1" x14ac:dyDescent="0.25">
      <c r="A20" s="12" t="str">
        <f t="shared" si="0"/>
        <v/>
      </c>
      <c r="B20" s="12"/>
      <c r="C20" s="13"/>
      <c r="D20" s="12"/>
      <c r="E20" s="13" t="str">
        <f t="shared" si="1"/>
        <v/>
      </c>
      <c r="F20" s="12" t="str">
        <f>IF(B20="","", SUMIF(Movimentação!E:E, B20, Movimentação!F:F))</f>
        <v/>
      </c>
      <c r="G20" s="12" t="str">
        <f t="shared" si="2"/>
        <v/>
      </c>
      <c r="H20" s="10" t="str">
        <f t="shared" si="3"/>
        <v/>
      </c>
      <c r="I20" s="12" t="str">
        <f t="shared" si="4"/>
        <v/>
      </c>
      <c r="J20" s="12"/>
    </row>
    <row r="21" spans="1:10" ht="24.95" customHeight="1" x14ac:dyDescent="0.25">
      <c r="A21" s="12" t="str">
        <f t="shared" si="0"/>
        <v/>
      </c>
      <c r="B21" s="12"/>
      <c r="C21" s="13"/>
      <c r="D21" s="12"/>
      <c r="E21" s="13" t="str">
        <f t="shared" si="1"/>
        <v/>
      </c>
      <c r="F21" s="12" t="str">
        <f>IF(B21="","", SUMIF(Movimentação!E:E, B21, Movimentação!F:F))</f>
        <v/>
      </c>
      <c r="G21" s="12" t="str">
        <f t="shared" si="2"/>
        <v/>
      </c>
      <c r="H21" s="10" t="str">
        <f t="shared" si="3"/>
        <v/>
      </c>
      <c r="I21" s="12" t="str">
        <f t="shared" si="4"/>
        <v/>
      </c>
      <c r="J21" s="12"/>
    </row>
    <row r="22" spans="1:10" ht="24.95" customHeight="1" x14ac:dyDescent="0.25">
      <c r="A22" s="12" t="str">
        <f t="shared" si="0"/>
        <v/>
      </c>
      <c r="B22" s="12"/>
      <c r="C22" s="13"/>
      <c r="D22" s="12"/>
      <c r="E22" s="13" t="str">
        <f t="shared" si="1"/>
        <v/>
      </c>
      <c r="F22" s="12" t="str">
        <f>IF(B22="","", SUMIF(Movimentação!E:E, B22, Movimentação!F:F))</f>
        <v/>
      </c>
      <c r="G22" s="12" t="str">
        <f t="shared" si="2"/>
        <v/>
      </c>
      <c r="H22" s="10" t="str">
        <f t="shared" si="3"/>
        <v/>
      </c>
      <c r="I22" s="12" t="str">
        <f t="shared" si="4"/>
        <v/>
      </c>
      <c r="J22" s="12"/>
    </row>
    <row r="23" spans="1:10" ht="24.95" customHeight="1" x14ac:dyDescent="0.25">
      <c r="A23" s="12" t="str">
        <f t="shared" si="0"/>
        <v/>
      </c>
      <c r="B23" s="12"/>
      <c r="C23" s="13"/>
      <c r="D23" s="12"/>
      <c r="E23" s="13" t="str">
        <f t="shared" si="1"/>
        <v/>
      </c>
      <c r="F23" s="12" t="str">
        <f>IF(B23="","", SUMIF(Movimentação!E:E, B23, Movimentação!F:F))</f>
        <v/>
      </c>
      <c r="G23" s="12" t="str">
        <f t="shared" si="2"/>
        <v/>
      </c>
      <c r="H23" s="10" t="str">
        <f t="shared" si="3"/>
        <v/>
      </c>
      <c r="I23" s="12" t="str">
        <f t="shared" si="4"/>
        <v/>
      </c>
      <c r="J23" s="12"/>
    </row>
    <row r="24" spans="1:10" ht="24.95" customHeight="1" x14ac:dyDescent="0.25">
      <c r="A24" s="12" t="str">
        <f t="shared" si="0"/>
        <v/>
      </c>
      <c r="B24" s="12"/>
      <c r="C24" s="13"/>
      <c r="D24" s="12"/>
      <c r="E24" s="13" t="str">
        <f t="shared" si="1"/>
        <v/>
      </c>
      <c r="F24" s="12" t="str">
        <f>IF(B24="","", SUMIF(Movimentação!E:E, B24, Movimentação!F:F))</f>
        <v/>
      </c>
      <c r="G24" s="12" t="str">
        <f t="shared" si="2"/>
        <v/>
      </c>
      <c r="H24" s="10" t="str">
        <f t="shared" si="3"/>
        <v/>
      </c>
      <c r="I24" s="12" t="str">
        <f t="shared" si="4"/>
        <v/>
      </c>
      <c r="J24" s="12"/>
    </row>
    <row r="25" spans="1:10" ht="24.95" customHeight="1" x14ac:dyDescent="0.25">
      <c r="A25" s="12" t="str">
        <f t="shared" si="0"/>
        <v/>
      </c>
      <c r="B25" s="12"/>
      <c r="C25" s="13"/>
      <c r="D25" s="12"/>
      <c r="E25" s="13" t="str">
        <f t="shared" si="1"/>
        <v/>
      </c>
      <c r="F25" s="12" t="str">
        <f>IF(B25="","", SUMIF(Movimentação!E:E, B25, Movimentação!F:F))</f>
        <v/>
      </c>
      <c r="G25" s="12" t="str">
        <f t="shared" si="2"/>
        <v/>
      </c>
      <c r="H25" s="10" t="str">
        <f t="shared" si="3"/>
        <v/>
      </c>
      <c r="I25" s="12" t="str">
        <f t="shared" si="4"/>
        <v/>
      </c>
      <c r="J25" s="12"/>
    </row>
    <row r="26" spans="1:10" ht="24.95" customHeight="1" x14ac:dyDescent="0.25">
      <c r="A26" s="12" t="str">
        <f t="shared" si="0"/>
        <v/>
      </c>
      <c r="B26" s="12"/>
      <c r="C26" s="13"/>
      <c r="D26" s="12"/>
      <c r="E26" s="13" t="str">
        <f t="shared" si="1"/>
        <v/>
      </c>
      <c r="F26" s="12" t="str">
        <f>IF(B26="","", SUMIF(Movimentação!E:E, B26, Movimentação!F:F))</f>
        <v/>
      </c>
      <c r="G26" s="12" t="str">
        <f t="shared" si="2"/>
        <v/>
      </c>
      <c r="H26" s="10" t="str">
        <f t="shared" si="3"/>
        <v/>
      </c>
      <c r="I26" s="12" t="str">
        <f t="shared" si="4"/>
        <v/>
      </c>
      <c r="J26" s="12"/>
    </row>
    <row r="27" spans="1:10" ht="24.95" customHeight="1" x14ac:dyDescent="0.25">
      <c r="A27" s="12" t="str">
        <f t="shared" si="0"/>
        <v/>
      </c>
      <c r="B27" s="12"/>
      <c r="C27" s="13"/>
      <c r="D27" s="12"/>
      <c r="E27" s="13" t="str">
        <f t="shared" si="1"/>
        <v/>
      </c>
      <c r="F27" s="12" t="str">
        <f>IF(B27="","", SUMIF(Movimentação!E:E, B27, Movimentação!F:F))</f>
        <v/>
      </c>
      <c r="G27" s="12" t="str">
        <f t="shared" si="2"/>
        <v/>
      </c>
      <c r="H27" s="10" t="str">
        <f t="shared" si="3"/>
        <v/>
      </c>
      <c r="I27" s="12" t="str">
        <f t="shared" si="4"/>
        <v/>
      </c>
      <c r="J27" s="12"/>
    </row>
    <row r="28" spans="1:10" ht="24.95" customHeight="1" x14ac:dyDescent="0.25">
      <c r="A28" s="12" t="str">
        <f t="shared" si="0"/>
        <v/>
      </c>
      <c r="B28" s="12"/>
      <c r="C28" s="13"/>
      <c r="D28" s="12"/>
      <c r="E28" s="13" t="str">
        <f t="shared" si="1"/>
        <v/>
      </c>
      <c r="F28" s="12" t="str">
        <f>IF(B28="","", SUMIF(Movimentação!E:E, B28, Movimentação!F:F))</f>
        <v/>
      </c>
      <c r="G28" s="12" t="str">
        <f t="shared" si="2"/>
        <v/>
      </c>
      <c r="H28" s="10" t="str">
        <f t="shared" si="3"/>
        <v/>
      </c>
      <c r="I28" s="12" t="str">
        <f t="shared" si="4"/>
        <v/>
      </c>
      <c r="J28" s="12"/>
    </row>
    <row r="29" spans="1:10" ht="24.95" customHeight="1" x14ac:dyDescent="0.25">
      <c r="A29" s="12" t="str">
        <f t="shared" si="0"/>
        <v/>
      </c>
      <c r="B29" s="12"/>
      <c r="C29" s="13"/>
      <c r="D29" s="12"/>
      <c r="E29" s="13" t="str">
        <f t="shared" si="1"/>
        <v/>
      </c>
      <c r="F29" s="12" t="str">
        <f>IF(B29="","", SUMIF(Movimentação!E:E, B29, Movimentação!F:F))</f>
        <v/>
      </c>
      <c r="G29" s="12" t="str">
        <f t="shared" si="2"/>
        <v/>
      </c>
      <c r="H29" s="10" t="str">
        <f t="shared" si="3"/>
        <v/>
      </c>
      <c r="I29" s="12" t="str">
        <f t="shared" si="4"/>
        <v/>
      </c>
      <c r="J29" s="12"/>
    </row>
    <row r="30" spans="1:10" ht="24.95" customHeight="1" x14ac:dyDescent="0.25">
      <c r="A30" s="12" t="str">
        <f t="shared" si="0"/>
        <v/>
      </c>
      <c r="B30" s="12"/>
      <c r="C30" s="13"/>
      <c r="D30" s="12"/>
      <c r="E30" s="13" t="str">
        <f t="shared" si="1"/>
        <v/>
      </c>
      <c r="F30" s="12" t="str">
        <f>IF(B30="","", SUMIF(Movimentação!E:E, B30, Movimentação!F:F))</f>
        <v/>
      </c>
      <c r="G30" s="12" t="str">
        <f t="shared" si="2"/>
        <v/>
      </c>
      <c r="H30" s="10" t="str">
        <f t="shared" si="3"/>
        <v/>
      </c>
      <c r="I30" s="12" t="str">
        <f t="shared" si="4"/>
        <v/>
      </c>
      <c r="J30" s="12"/>
    </row>
    <row r="31" spans="1:10" ht="24.95" customHeight="1" x14ac:dyDescent="0.25">
      <c r="A31" s="12" t="str">
        <f t="shared" si="0"/>
        <v/>
      </c>
      <c r="B31" s="12"/>
      <c r="C31" s="13"/>
      <c r="D31" s="12"/>
      <c r="E31" s="13" t="str">
        <f t="shared" si="1"/>
        <v/>
      </c>
      <c r="F31" s="12" t="str">
        <f>IF(B31="","", SUMIF(Movimentação!E:E, B31, Movimentação!F:F))</f>
        <v/>
      </c>
      <c r="G31" s="12" t="str">
        <f t="shared" si="2"/>
        <v/>
      </c>
      <c r="H31" s="10" t="str">
        <f t="shared" si="3"/>
        <v/>
      </c>
      <c r="I31" s="12" t="str">
        <f t="shared" si="4"/>
        <v/>
      </c>
      <c r="J31" s="12"/>
    </row>
    <row r="32" spans="1:10" ht="24.95" customHeight="1" x14ac:dyDescent="0.25">
      <c r="A32" s="12" t="str">
        <f t="shared" si="0"/>
        <v/>
      </c>
      <c r="B32" s="12"/>
      <c r="C32" s="13"/>
      <c r="D32" s="12"/>
      <c r="E32" s="13" t="str">
        <f t="shared" si="1"/>
        <v/>
      </c>
      <c r="F32" s="12" t="str">
        <f>IF(B32="","", SUMIF(Movimentação!E:E, B32, Movimentação!F:F))</f>
        <v/>
      </c>
      <c r="G32" s="12" t="str">
        <f t="shared" si="2"/>
        <v/>
      </c>
      <c r="H32" s="10" t="str">
        <f t="shared" si="3"/>
        <v/>
      </c>
      <c r="I32" s="12" t="str">
        <f t="shared" si="4"/>
        <v/>
      </c>
      <c r="J32" s="12"/>
    </row>
    <row r="33" spans="1:10" ht="24.95" customHeight="1" x14ac:dyDescent="0.25">
      <c r="A33" s="12" t="str">
        <f t="shared" si="0"/>
        <v/>
      </c>
      <c r="B33" s="12"/>
      <c r="C33" s="13"/>
      <c r="D33" s="12"/>
      <c r="E33" s="13" t="str">
        <f t="shared" si="1"/>
        <v/>
      </c>
      <c r="F33" s="12" t="str">
        <f>IF(B33="","", SUMIF(Movimentação!E:E, B33, Movimentação!F:F))</f>
        <v/>
      </c>
      <c r="G33" s="12" t="str">
        <f t="shared" si="2"/>
        <v/>
      </c>
      <c r="H33" s="10" t="str">
        <f t="shared" si="3"/>
        <v/>
      </c>
      <c r="I33" s="12" t="str">
        <f t="shared" si="4"/>
        <v/>
      </c>
      <c r="J33" s="12"/>
    </row>
    <row r="34" spans="1:10" ht="24.95" customHeight="1" x14ac:dyDescent="0.25">
      <c r="A34" s="12" t="str">
        <f t="shared" ref="A34:A65" si="5">IF(B34&lt;&gt;"", ROW()-1, "")</f>
        <v/>
      </c>
      <c r="B34" s="12"/>
      <c r="C34" s="13"/>
      <c r="D34" s="12"/>
      <c r="E34" s="13" t="str">
        <f t="shared" ref="E34:E65" si="6">IF(B34="","", C34*D34)</f>
        <v/>
      </c>
      <c r="F34" s="12" t="str">
        <f>IF(B34="","", SUMIF(Movimentação!E:E, B34, Movimentação!F:F))</f>
        <v/>
      </c>
      <c r="G34" s="12" t="str">
        <f t="shared" ref="G34:G65" si="7">IF(B34="","", D34 - F34)</f>
        <v/>
      </c>
      <c r="H34" s="10" t="str">
        <f t="shared" ref="H34:H65" si="8">IF(OR(B34="", D34="", D34=0), "", G34/D34)</f>
        <v/>
      </c>
      <c r="I34" s="12" t="str">
        <f t="shared" ref="I34:I65" si="9">IF(G34="","", IF(G34&lt;0, "🚨 NEGATIVO", IF(G34&lt;=3, "⚠️ BAIXO", "✅ OK")))</f>
        <v/>
      </c>
      <c r="J34" s="12"/>
    </row>
    <row r="35" spans="1:10" ht="24.95" customHeight="1" x14ac:dyDescent="0.25">
      <c r="A35" s="12" t="str">
        <f t="shared" si="5"/>
        <v/>
      </c>
      <c r="B35" s="12"/>
      <c r="C35" s="13"/>
      <c r="D35" s="12"/>
      <c r="E35" s="13" t="str">
        <f t="shared" si="6"/>
        <v/>
      </c>
      <c r="F35" s="12" t="str">
        <f>IF(B35="","", SUMIF(Movimentação!E:E, B35, Movimentação!F:F))</f>
        <v/>
      </c>
      <c r="G35" s="12" t="str">
        <f t="shared" si="7"/>
        <v/>
      </c>
      <c r="H35" s="10" t="str">
        <f t="shared" si="8"/>
        <v/>
      </c>
      <c r="I35" s="12" t="str">
        <f t="shared" si="9"/>
        <v/>
      </c>
      <c r="J35" s="12"/>
    </row>
    <row r="36" spans="1:10" ht="24.95" customHeight="1" x14ac:dyDescent="0.25">
      <c r="A36" s="12" t="str">
        <f t="shared" si="5"/>
        <v/>
      </c>
      <c r="B36" s="12"/>
      <c r="C36" s="13"/>
      <c r="D36" s="12"/>
      <c r="E36" s="13" t="str">
        <f t="shared" si="6"/>
        <v/>
      </c>
      <c r="F36" s="12" t="str">
        <f>IF(B36="","", SUMIF(Movimentação!E:E, B36, Movimentação!F:F))</f>
        <v/>
      </c>
      <c r="G36" s="12" t="str">
        <f t="shared" si="7"/>
        <v/>
      </c>
      <c r="H36" s="10" t="str">
        <f t="shared" si="8"/>
        <v/>
      </c>
      <c r="I36" s="12" t="str">
        <f t="shared" si="9"/>
        <v/>
      </c>
      <c r="J36" s="12"/>
    </row>
    <row r="37" spans="1:10" ht="24.95" customHeight="1" x14ac:dyDescent="0.25">
      <c r="A37" s="12" t="str">
        <f t="shared" si="5"/>
        <v/>
      </c>
      <c r="B37" s="12"/>
      <c r="C37" s="13"/>
      <c r="D37" s="12"/>
      <c r="E37" s="13" t="str">
        <f t="shared" si="6"/>
        <v/>
      </c>
      <c r="F37" s="12" t="str">
        <f>IF(B37="","", SUMIF(Movimentação!E:E, B37, Movimentação!F:F))</f>
        <v/>
      </c>
      <c r="G37" s="12" t="str">
        <f t="shared" si="7"/>
        <v/>
      </c>
      <c r="H37" s="10" t="str">
        <f t="shared" si="8"/>
        <v/>
      </c>
      <c r="I37" s="12" t="str">
        <f t="shared" si="9"/>
        <v/>
      </c>
      <c r="J37" s="12"/>
    </row>
    <row r="38" spans="1:10" ht="24.95" customHeight="1" x14ac:dyDescent="0.25">
      <c r="A38" s="12" t="str">
        <f t="shared" si="5"/>
        <v/>
      </c>
      <c r="B38" s="12"/>
      <c r="C38" s="13"/>
      <c r="D38" s="12"/>
      <c r="E38" s="13" t="str">
        <f t="shared" si="6"/>
        <v/>
      </c>
      <c r="F38" s="12" t="str">
        <f>IF(B38="","", SUMIF(Movimentação!E:E, B38, Movimentação!F:F))</f>
        <v/>
      </c>
      <c r="G38" s="12" t="str">
        <f t="shared" si="7"/>
        <v/>
      </c>
      <c r="H38" s="10" t="str">
        <f t="shared" si="8"/>
        <v/>
      </c>
      <c r="I38" s="12" t="str">
        <f t="shared" si="9"/>
        <v/>
      </c>
      <c r="J38" s="12"/>
    </row>
    <row r="39" spans="1:10" ht="24.95" customHeight="1" x14ac:dyDescent="0.25">
      <c r="A39" s="12" t="str">
        <f t="shared" si="5"/>
        <v/>
      </c>
      <c r="B39" s="12"/>
      <c r="C39" s="13"/>
      <c r="D39" s="12"/>
      <c r="E39" s="13" t="str">
        <f t="shared" si="6"/>
        <v/>
      </c>
      <c r="F39" s="12" t="str">
        <f>IF(B39="","", SUMIF(Movimentação!E:E, B39, Movimentação!F:F))</f>
        <v/>
      </c>
      <c r="G39" s="12" t="str">
        <f t="shared" si="7"/>
        <v/>
      </c>
      <c r="H39" s="10" t="str">
        <f t="shared" si="8"/>
        <v/>
      </c>
      <c r="I39" s="12" t="str">
        <f t="shared" si="9"/>
        <v/>
      </c>
      <c r="J39" s="12"/>
    </row>
    <row r="40" spans="1:10" ht="24.95" customHeight="1" x14ac:dyDescent="0.25">
      <c r="A40" s="12" t="str">
        <f t="shared" si="5"/>
        <v/>
      </c>
      <c r="B40" s="12"/>
      <c r="C40" s="13"/>
      <c r="D40" s="12"/>
      <c r="E40" s="13" t="str">
        <f t="shared" si="6"/>
        <v/>
      </c>
      <c r="F40" s="12" t="str">
        <f>IF(B40="","", SUMIF(Movimentação!E:E, B40, Movimentação!F:F))</f>
        <v/>
      </c>
      <c r="G40" s="12" t="str">
        <f t="shared" si="7"/>
        <v/>
      </c>
      <c r="H40" s="10" t="str">
        <f t="shared" si="8"/>
        <v/>
      </c>
      <c r="I40" s="12" t="str">
        <f t="shared" si="9"/>
        <v/>
      </c>
      <c r="J40" s="12"/>
    </row>
    <row r="41" spans="1:10" ht="24.95" customHeight="1" x14ac:dyDescent="0.25">
      <c r="A41" s="12" t="str">
        <f t="shared" si="5"/>
        <v/>
      </c>
      <c r="B41" s="12"/>
      <c r="C41" s="13"/>
      <c r="D41" s="12"/>
      <c r="E41" s="13" t="str">
        <f t="shared" si="6"/>
        <v/>
      </c>
      <c r="F41" s="12" t="str">
        <f>IF(B41="","", SUMIF(Movimentação!E:E, B41, Movimentação!F:F))</f>
        <v/>
      </c>
      <c r="G41" s="12" t="str">
        <f t="shared" si="7"/>
        <v/>
      </c>
      <c r="H41" s="10" t="str">
        <f t="shared" si="8"/>
        <v/>
      </c>
      <c r="I41" s="12" t="str">
        <f t="shared" si="9"/>
        <v/>
      </c>
      <c r="J41" s="12"/>
    </row>
    <row r="42" spans="1:10" ht="24.95" customHeight="1" x14ac:dyDescent="0.25">
      <c r="A42" s="12" t="str">
        <f t="shared" si="5"/>
        <v/>
      </c>
      <c r="B42" s="12"/>
      <c r="C42" s="13"/>
      <c r="D42" s="12"/>
      <c r="E42" s="13" t="str">
        <f t="shared" si="6"/>
        <v/>
      </c>
      <c r="F42" s="12" t="str">
        <f>IF(B42="","", SUMIF(Movimentação!E:E, B42, Movimentação!F:F))</f>
        <v/>
      </c>
      <c r="G42" s="12" t="str">
        <f t="shared" si="7"/>
        <v/>
      </c>
      <c r="H42" s="10" t="str">
        <f t="shared" si="8"/>
        <v/>
      </c>
      <c r="I42" s="12" t="str">
        <f t="shared" si="9"/>
        <v/>
      </c>
      <c r="J42" s="12"/>
    </row>
    <row r="43" spans="1:10" ht="24.95" customHeight="1" x14ac:dyDescent="0.25">
      <c r="A43" s="12" t="str">
        <f t="shared" si="5"/>
        <v/>
      </c>
      <c r="B43" s="12"/>
      <c r="C43" s="13"/>
      <c r="D43" s="12"/>
      <c r="E43" s="13" t="str">
        <f t="shared" si="6"/>
        <v/>
      </c>
      <c r="F43" s="12" t="str">
        <f>IF(B43="","", SUMIF(Movimentação!E:E, B43, Movimentação!F:F))</f>
        <v/>
      </c>
      <c r="G43" s="12" t="str">
        <f t="shared" si="7"/>
        <v/>
      </c>
      <c r="H43" s="10" t="str">
        <f t="shared" si="8"/>
        <v/>
      </c>
      <c r="I43" s="12" t="str">
        <f t="shared" si="9"/>
        <v/>
      </c>
      <c r="J43" s="12"/>
    </row>
    <row r="44" spans="1:10" ht="24.95" customHeight="1" x14ac:dyDescent="0.25">
      <c r="A44" s="12" t="str">
        <f t="shared" si="5"/>
        <v/>
      </c>
      <c r="B44" s="12"/>
      <c r="C44" s="13"/>
      <c r="D44" s="12"/>
      <c r="E44" s="13" t="str">
        <f t="shared" si="6"/>
        <v/>
      </c>
      <c r="F44" s="12" t="str">
        <f>IF(B44="","", SUMIF(Movimentação!E:E, B44, Movimentação!F:F))</f>
        <v/>
      </c>
      <c r="G44" s="12" t="str">
        <f t="shared" si="7"/>
        <v/>
      </c>
      <c r="H44" s="10" t="str">
        <f t="shared" si="8"/>
        <v/>
      </c>
      <c r="I44" s="12" t="str">
        <f t="shared" si="9"/>
        <v/>
      </c>
      <c r="J44" s="12"/>
    </row>
    <row r="45" spans="1:10" ht="24.95" customHeight="1" x14ac:dyDescent="0.25">
      <c r="A45" s="12" t="str">
        <f t="shared" si="5"/>
        <v/>
      </c>
      <c r="B45" s="12"/>
      <c r="C45" s="13"/>
      <c r="D45" s="12"/>
      <c r="E45" s="13" t="str">
        <f t="shared" si="6"/>
        <v/>
      </c>
      <c r="F45" s="12" t="str">
        <f>IF(B45="","", SUMIF(Movimentação!E:E, B45, Movimentação!F:F))</f>
        <v/>
      </c>
      <c r="G45" s="12" t="str">
        <f t="shared" si="7"/>
        <v/>
      </c>
      <c r="H45" s="10" t="str">
        <f t="shared" si="8"/>
        <v/>
      </c>
      <c r="I45" s="12" t="str">
        <f t="shared" si="9"/>
        <v/>
      </c>
      <c r="J45" s="12"/>
    </row>
    <row r="46" spans="1:10" ht="24.95" customHeight="1" x14ac:dyDescent="0.25">
      <c r="A46" s="12" t="str">
        <f t="shared" si="5"/>
        <v/>
      </c>
      <c r="B46" s="12"/>
      <c r="C46" s="13"/>
      <c r="D46" s="12"/>
      <c r="E46" s="13" t="str">
        <f t="shared" si="6"/>
        <v/>
      </c>
      <c r="F46" s="12" t="str">
        <f>IF(B46="","", SUMIF(Movimentação!E:E, B46, Movimentação!F:F))</f>
        <v/>
      </c>
      <c r="G46" s="12" t="str">
        <f t="shared" si="7"/>
        <v/>
      </c>
      <c r="H46" s="10" t="str">
        <f t="shared" si="8"/>
        <v/>
      </c>
      <c r="I46" s="12" t="str">
        <f t="shared" si="9"/>
        <v/>
      </c>
      <c r="J46" s="12"/>
    </row>
    <row r="47" spans="1:10" ht="24.95" customHeight="1" x14ac:dyDescent="0.25">
      <c r="A47" s="12" t="str">
        <f t="shared" si="5"/>
        <v/>
      </c>
      <c r="B47" s="12"/>
      <c r="C47" s="13"/>
      <c r="D47" s="12"/>
      <c r="E47" s="13" t="str">
        <f t="shared" si="6"/>
        <v/>
      </c>
      <c r="F47" s="12" t="str">
        <f>IF(B47="","", SUMIF(Movimentação!E:E, B47, Movimentação!F:F))</f>
        <v/>
      </c>
      <c r="G47" s="12" t="str">
        <f t="shared" si="7"/>
        <v/>
      </c>
      <c r="H47" s="10" t="str">
        <f t="shared" si="8"/>
        <v/>
      </c>
      <c r="I47" s="12" t="str">
        <f t="shared" si="9"/>
        <v/>
      </c>
      <c r="J47" s="12"/>
    </row>
    <row r="48" spans="1:10" ht="24.95" customHeight="1" x14ac:dyDescent="0.25">
      <c r="A48" s="12" t="str">
        <f t="shared" si="5"/>
        <v/>
      </c>
      <c r="B48" s="12"/>
      <c r="C48" s="13"/>
      <c r="D48" s="12"/>
      <c r="E48" s="13" t="str">
        <f t="shared" si="6"/>
        <v/>
      </c>
      <c r="F48" s="12" t="str">
        <f>IF(B48="","", SUMIF(Movimentação!E:E, B48, Movimentação!F:F))</f>
        <v/>
      </c>
      <c r="G48" s="12" t="str">
        <f t="shared" si="7"/>
        <v/>
      </c>
      <c r="H48" s="10" t="str">
        <f t="shared" si="8"/>
        <v/>
      </c>
      <c r="I48" s="12" t="str">
        <f t="shared" si="9"/>
        <v/>
      </c>
      <c r="J48" s="12"/>
    </row>
    <row r="49" spans="1:10" ht="24.95" customHeight="1" x14ac:dyDescent="0.25">
      <c r="A49" s="12" t="str">
        <f t="shared" si="5"/>
        <v/>
      </c>
      <c r="B49" s="12"/>
      <c r="C49" s="13"/>
      <c r="D49" s="12"/>
      <c r="E49" s="13" t="str">
        <f t="shared" si="6"/>
        <v/>
      </c>
      <c r="F49" s="12" t="str">
        <f>IF(B49="","", SUMIF(Movimentação!E:E, B49, Movimentação!F:F))</f>
        <v/>
      </c>
      <c r="G49" s="12" t="str">
        <f t="shared" si="7"/>
        <v/>
      </c>
      <c r="H49" s="10" t="str">
        <f t="shared" si="8"/>
        <v/>
      </c>
      <c r="I49" s="12" t="str">
        <f t="shared" si="9"/>
        <v/>
      </c>
      <c r="J49" s="12"/>
    </row>
    <row r="50" spans="1:10" ht="24.95" customHeight="1" x14ac:dyDescent="0.25">
      <c r="A50" s="12" t="str">
        <f t="shared" si="5"/>
        <v/>
      </c>
      <c r="B50" s="12"/>
      <c r="C50" s="13"/>
      <c r="D50" s="12"/>
      <c r="E50" s="13" t="str">
        <f t="shared" si="6"/>
        <v/>
      </c>
      <c r="F50" s="12" t="str">
        <f>IF(B50="","", SUMIF(Movimentação!E:E, B50, Movimentação!F:F))</f>
        <v/>
      </c>
      <c r="G50" s="12" t="str">
        <f t="shared" si="7"/>
        <v/>
      </c>
      <c r="H50" s="10" t="str">
        <f t="shared" si="8"/>
        <v/>
      </c>
      <c r="I50" s="12" t="str">
        <f t="shared" si="9"/>
        <v/>
      </c>
      <c r="J50" s="12"/>
    </row>
    <row r="51" spans="1:10" ht="24.95" customHeight="1" x14ac:dyDescent="0.25">
      <c r="A51" s="12" t="str">
        <f t="shared" si="5"/>
        <v/>
      </c>
      <c r="B51" s="12"/>
      <c r="C51" s="13"/>
      <c r="D51" s="12"/>
      <c r="E51" s="13" t="str">
        <f t="shared" si="6"/>
        <v/>
      </c>
      <c r="F51" s="12" t="str">
        <f>IF(B51="","", SUMIF(Movimentação!E:E, B51, Movimentação!F:F))</f>
        <v/>
      </c>
      <c r="G51" s="12" t="str">
        <f t="shared" si="7"/>
        <v/>
      </c>
      <c r="H51" s="10" t="str">
        <f t="shared" si="8"/>
        <v/>
      </c>
      <c r="I51" s="12" t="str">
        <f t="shared" si="9"/>
        <v/>
      </c>
      <c r="J51" s="12"/>
    </row>
    <row r="52" spans="1:10" ht="24.95" customHeight="1" x14ac:dyDescent="0.25">
      <c r="A52" s="12" t="str">
        <f t="shared" si="5"/>
        <v/>
      </c>
      <c r="B52" s="12"/>
      <c r="C52" s="13"/>
      <c r="D52" s="12"/>
      <c r="E52" s="13" t="str">
        <f t="shared" si="6"/>
        <v/>
      </c>
      <c r="F52" s="12" t="str">
        <f>IF(B52="","", SUMIF(Movimentação!E:E, B52, Movimentação!F:F))</f>
        <v/>
      </c>
      <c r="G52" s="12" t="str">
        <f t="shared" si="7"/>
        <v/>
      </c>
      <c r="H52" s="10" t="str">
        <f t="shared" si="8"/>
        <v/>
      </c>
      <c r="I52" s="12" t="str">
        <f t="shared" si="9"/>
        <v/>
      </c>
      <c r="J52" s="12"/>
    </row>
    <row r="53" spans="1:10" ht="24.95" customHeight="1" x14ac:dyDescent="0.25">
      <c r="A53" s="12" t="str">
        <f t="shared" si="5"/>
        <v/>
      </c>
      <c r="B53" s="12"/>
      <c r="C53" s="13"/>
      <c r="D53" s="12"/>
      <c r="E53" s="13" t="str">
        <f t="shared" si="6"/>
        <v/>
      </c>
      <c r="F53" s="12" t="str">
        <f>IF(B53="","", SUMIF(Movimentação!E:E, B53, Movimentação!F:F))</f>
        <v/>
      </c>
      <c r="G53" s="12" t="str">
        <f t="shared" si="7"/>
        <v/>
      </c>
      <c r="H53" s="10" t="str">
        <f t="shared" si="8"/>
        <v/>
      </c>
      <c r="I53" s="12" t="str">
        <f t="shared" si="9"/>
        <v/>
      </c>
      <c r="J53" s="12"/>
    </row>
    <row r="54" spans="1:10" ht="24.95" customHeight="1" x14ac:dyDescent="0.25">
      <c r="A54" s="12" t="str">
        <f t="shared" si="5"/>
        <v/>
      </c>
      <c r="B54" s="12"/>
      <c r="C54" s="13"/>
      <c r="D54" s="12"/>
      <c r="E54" s="13" t="str">
        <f t="shared" si="6"/>
        <v/>
      </c>
      <c r="F54" s="12" t="str">
        <f>IF(B54="","", SUMIF(Movimentação!E:E, B54, Movimentação!F:F))</f>
        <v/>
      </c>
      <c r="G54" s="12" t="str">
        <f t="shared" si="7"/>
        <v/>
      </c>
      <c r="H54" s="10" t="str">
        <f t="shared" si="8"/>
        <v/>
      </c>
      <c r="I54" s="12" t="str">
        <f t="shared" si="9"/>
        <v/>
      </c>
      <c r="J54" s="12"/>
    </row>
    <row r="55" spans="1:10" ht="24.95" customHeight="1" x14ac:dyDescent="0.25">
      <c r="A55" s="12" t="str">
        <f t="shared" si="5"/>
        <v/>
      </c>
      <c r="B55" s="12"/>
      <c r="C55" s="13"/>
      <c r="D55" s="12"/>
      <c r="E55" s="13" t="str">
        <f t="shared" si="6"/>
        <v/>
      </c>
      <c r="F55" s="12" t="str">
        <f>IF(B55="","", SUMIF(Movimentação!E:E, B55, Movimentação!F:F))</f>
        <v/>
      </c>
      <c r="G55" s="12" t="str">
        <f t="shared" si="7"/>
        <v/>
      </c>
      <c r="H55" s="10" t="str">
        <f t="shared" si="8"/>
        <v/>
      </c>
      <c r="I55" s="12" t="str">
        <f t="shared" si="9"/>
        <v/>
      </c>
      <c r="J55" s="12"/>
    </row>
    <row r="56" spans="1:10" ht="24.95" customHeight="1" x14ac:dyDescent="0.25">
      <c r="A56" s="12" t="str">
        <f t="shared" si="5"/>
        <v/>
      </c>
      <c r="B56" s="12"/>
      <c r="C56" s="13"/>
      <c r="D56" s="12"/>
      <c r="E56" s="13" t="str">
        <f t="shared" si="6"/>
        <v/>
      </c>
      <c r="F56" s="12" t="str">
        <f>IF(B56="","", SUMIF(Movimentação!E:E, B56, Movimentação!F:F))</f>
        <v/>
      </c>
      <c r="G56" s="12" t="str">
        <f t="shared" si="7"/>
        <v/>
      </c>
      <c r="H56" s="10" t="str">
        <f t="shared" si="8"/>
        <v/>
      </c>
      <c r="I56" s="12" t="str">
        <f t="shared" si="9"/>
        <v/>
      </c>
      <c r="J56" s="12"/>
    </row>
    <row r="57" spans="1:10" ht="24.95" customHeight="1" x14ac:dyDescent="0.25">
      <c r="A57" s="12" t="str">
        <f t="shared" si="5"/>
        <v/>
      </c>
      <c r="B57" s="12"/>
      <c r="C57" s="13"/>
      <c r="D57" s="12"/>
      <c r="E57" s="13" t="str">
        <f t="shared" si="6"/>
        <v/>
      </c>
      <c r="F57" s="12" t="str">
        <f>IF(B57="","", SUMIF(Movimentação!E:E, B57, Movimentação!F:F))</f>
        <v/>
      </c>
      <c r="G57" s="12" t="str">
        <f t="shared" si="7"/>
        <v/>
      </c>
      <c r="H57" s="10" t="str">
        <f t="shared" si="8"/>
        <v/>
      </c>
      <c r="I57" s="12" t="str">
        <f t="shared" si="9"/>
        <v/>
      </c>
      <c r="J57" s="12"/>
    </row>
    <row r="58" spans="1:10" ht="24.95" customHeight="1" x14ac:dyDescent="0.25">
      <c r="A58" s="12" t="str">
        <f t="shared" si="5"/>
        <v/>
      </c>
      <c r="B58" s="12"/>
      <c r="C58" s="13"/>
      <c r="D58" s="12"/>
      <c r="E58" s="13" t="str">
        <f t="shared" si="6"/>
        <v/>
      </c>
      <c r="F58" s="12" t="str">
        <f>IF(B58="","", SUMIF(Movimentação!E:E, B58, Movimentação!F:F))</f>
        <v/>
      </c>
      <c r="G58" s="12" t="str">
        <f t="shared" si="7"/>
        <v/>
      </c>
      <c r="H58" s="10" t="str">
        <f t="shared" si="8"/>
        <v/>
      </c>
      <c r="I58" s="12" t="str">
        <f t="shared" si="9"/>
        <v/>
      </c>
      <c r="J58" s="12"/>
    </row>
    <row r="59" spans="1:10" ht="24.95" customHeight="1" x14ac:dyDescent="0.25">
      <c r="A59" s="12" t="str">
        <f t="shared" si="5"/>
        <v/>
      </c>
      <c r="B59" s="12"/>
      <c r="C59" s="13"/>
      <c r="D59" s="12"/>
      <c r="E59" s="13" t="str">
        <f t="shared" si="6"/>
        <v/>
      </c>
      <c r="F59" s="12" t="str">
        <f>IF(B59="","", SUMIF(Movimentação!E:E, B59, Movimentação!F:F))</f>
        <v/>
      </c>
      <c r="G59" s="12" t="str">
        <f t="shared" si="7"/>
        <v/>
      </c>
      <c r="H59" s="10" t="str">
        <f t="shared" si="8"/>
        <v/>
      </c>
      <c r="I59" s="12" t="str">
        <f t="shared" si="9"/>
        <v/>
      </c>
      <c r="J59" s="12"/>
    </row>
    <row r="60" spans="1:10" ht="24.95" customHeight="1" x14ac:dyDescent="0.25">
      <c r="A60" s="12" t="str">
        <f t="shared" si="5"/>
        <v/>
      </c>
      <c r="B60" s="12"/>
      <c r="C60" s="13"/>
      <c r="D60" s="12"/>
      <c r="E60" s="13" t="str">
        <f t="shared" si="6"/>
        <v/>
      </c>
      <c r="F60" s="12" t="str">
        <f>IF(B60="","", SUMIF(Movimentação!E:E, B60, Movimentação!F:F))</f>
        <v/>
      </c>
      <c r="G60" s="12" t="str">
        <f t="shared" si="7"/>
        <v/>
      </c>
      <c r="H60" s="10" t="str">
        <f t="shared" si="8"/>
        <v/>
      </c>
      <c r="I60" s="12" t="str">
        <f t="shared" si="9"/>
        <v/>
      </c>
      <c r="J60" s="12"/>
    </row>
    <row r="61" spans="1:10" ht="24.95" customHeight="1" x14ac:dyDescent="0.25">
      <c r="A61" s="12" t="str">
        <f t="shared" si="5"/>
        <v/>
      </c>
      <c r="B61" s="12"/>
      <c r="C61" s="13"/>
      <c r="D61" s="12"/>
      <c r="E61" s="13" t="str">
        <f t="shared" si="6"/>
        <v/>
      </c>
      <c r="F61" s="12" t="str">
        <f>IF(B61="","", SUMIF(Movimentação!E:E, B61, Movimentação!F:F))</f>
        <v/>
      </c>
      <c r="G61" s="12" t="str">
        <f t="shared" si="7"/>
        <v/>
      </c>
      <c r="H61" s="10" t="str">
        <f t="shared" si="8"/>
        <v/>
      </c>
      <c r="I61" s="12" t="str">
        <f t="shared" si="9"/>
        <v/>
      </c>
      <c r="J61" s="12"/>
    </row>
    <row r="62" spans="1:10" ht="24.95" customHeight="1" x14ac:dyDescent="0.25">
      <c r="A62" s="12" t="str">
        <f t="shared" si="5"/>
        <v/>
      </c>
      <c r="B62" s="12"/>
      <c r="C62" s="13"/>
      <c r="D62" s="12"/>
      <c r="E62" s="13" t="str">
        <f t="shared" si="6"/>
        <v/>
      </c>
      <c r="F62" s="12" t="str">
        <f>IF(B62="","", SUMIF(Movimentação!E:E, B62, Movimentação!F:F))</f>
        <v/>
      </c>
      <c r="G62" s="12" t="str">
        <f t="shared" si="7"/>
        <v/>
      </c>
      <c r="H62" s="10" t="str">
        <f t="shared" si="8"/>
        <v/>
      </c>
      <c r="I62" s="12" t="str">
        <f t="shared" si="9"/>
        <v/>
      </c>
      <c r="J62" s="12"/>
    </row>
    <row r="63" spans="1:10" ht="24.95" customHeight="1" x14ac:dyDescent="0.25">
      <c r="A63" s="12" t="str">
        <f t="shared" si="5"/>
        <v/>
      </c>
      <c r="B63" s="12"/>
      <c r="C63" s="13"/>
      <c r="D63" s="12"/>
      <c r="E63" s="13" t="str">
        <f t="shared" si="6"/>
        <v/>
      </c>
      <c r="F63" s="12" t="str">
        <f>IF(B63="","", SUMIF(Movimentação!E:E, B63, Movimentação!F:F))</f>
        <v/>
      </c>
      <c r="G63" s="12" t="str">
        <f t="shared" si="7"/>
        <v/>
      </c>
      <c r="H63" s="10" t="str">
        <f t="shared" si="8"/>
        <v/>
      </c>
      <c r="I63" s="12" t="str">
        <f t="shared" si="9"/>
        <v/>
      </c>
      <c r="J63" s="12"/>
    </row>
    <row r="64" spans="1:10" ht="24.95" customHeight="1" x14ac:dyDescent="0.25">
      <c r="A64" s="12" t="str">
        <f t="shared" si="5"/>
        <v/>
      </c>
      <c r="B64" s="12"/>
      <c r="C64" s="13"/>
      <c r="D64" s="12"/>
      <c r="E64" s="13" t="str">
        <f t="shared" si="6"/>
        <v/>
      </c>
      <c r="F64" s="12" t="str">
        <f>IF(B64="","", SUMIF(Movimentação!E:E, B64, Movimentação!F:F))</f>
        <v/>
      </c>
      <c r="G64" s="12" t="str">
        <f t="shared" si="7"/>
        <v/>
      </c>
      <c r="H64" s="10" t="str">
        <f t="shared" si="8"/>
        <v/>
      </c>
      <c r="I64" s="12" t="str">
        <f t="shared" si="9"/>
        <v/>
      </c>
      <c r="J64" s="12"/>
    </row>
    <row r="65" spans="1:10" ht="24.95" customHeight="1" x14ac:dyDescent="0.25">
      <c r="A65" s="12" t="str">
        <f t="shared" si="5"/>
        <v/>
      </c>
      <c r="B65" s="12"/>
      <c r="C65" s="13"/>
      <c r="D65" s="12"/>
      <c r="E65" s="13" t="str">
        <f t="shared" si="6"/>
        <v/>
      </c>
      <c r="F65" s="12" t="str">
        <f>IF(B65="","", SUMIF(Movimentação!E:E, B65, Movimentação!F:F))</f>
        <v/>
      </c>
      <c r="G65" s="12" t="str">
        <f t="shared" si="7"/>
        <v/>
      </c>
      <c r="H65" s="10" t="str">
        <f t="shared" si="8"/>
        <v/>
      </c>
      <c r="I65" s="12" t="str">
        <f t="shared" si="9"/>
        <v/>
      </c>
      <c r="J65" s="12"/>
    </row>
    <row r="66" spans="1:10" ht="24.95" customHeight="1" x14ac:dyDescent="0.25">
      <c r="A66" s="12" t="str">
        <f t="shared" ref="A66:A97" si="10">IF(B66&lt;&gt;"", ROW()-1, "")</f>
        <v/>
      </c>
      <c r="B66" s="12"/>
      <c r="C66" s="13"/>
      <c r="D66" s="12"/>
      <c r="E66" s="13" t="str">
        <f t="shared" ref="E66:E97" si="11">IF(B66="","", C66*D66)</f>
        <v/>
      </c>
      <c r="F66" s="12" t="str">
        <f>IF(B66="","", SUMIF(Movimentação!E:E, B66, Movimentação!F:F))</f>
        <v/>
      </c>
      <c r="G66" s="12" t="str">
        <f t="shared" ref="G66:G97" si="12">IF(B66="","", D66 - F66)</f>
        <v/>
      </c>
      <c r="H66" s="10" t="str">
        <f t="shared" ref="H66:H97" si="13">IF(OR(B66="", D66="", D66=0), "", G66/D66)</f>
        <v/>
      </c>
      <c r="I66" s="12" t="str">
        <f t="shared" ref="I66:I100" si="14">IF(G66="","", IF(G66&lt;0, "🚨 NEGATIVO", IF(G66&lt;=3, "⚠️ BAIXO", "✅ OK")))</f>
        <v/>
      </c>
      <c r="J66" s="12"/>
    </row>
    <row r="67" spans="1:10" ht="24.95" customHeight="1" x14ac:dyDescent="0.25">
      <c r="A67" s="12" t="str">
        <f t="shared" si="10"/>
        <v/>
      </c>
      <c r="B67" s="12"/>
      <c r="C67" s="13"/>
      <c r="D67" s="12"/>
      <c r="E67" s="13" t="str">
        <f t="shared" si="11"/>
        <v/>
      </c>
      <c r="F67" s="12" t="str">
        <f>IF(B67="","", SUMIF(Movimentação!E:E, B67, Movimentação!F:F))</f>
        <v/>
      </c>
      <c r="G67" s="12" t="str">
        <f t="shared" si="12"/>
        <v/>
      </c>
      <c r="H67" s="10" t="str">
        <f t="shared" si="13"/>
        <v/>
      </c>
      <c r="I67" s="12" t="str">
        <f t="shared" si="14"/>
        <v/>
      </c>
      <c r="J67" s="12"/>
    </row>
    <row r="68" spans="1:10" ht="24.95" customHeight="1" x14ac:dyDescent="0.25">
      <c r="A68" s="12" t="str">
        <f t="shared" si="10"/>
        <v/>
      </c>
      <c r="B68" s="12"/>
      <c r="C68" s="13"/>
      <c r="D68" s="12"/>
      <c r="E68" s="13" t="str">
        <f t="shared" si="11"/>
        <v/>
      </c>
      <c r="F68" s="12" t="str">
        <f>IF(B68="","", SUMIF(Movimentação!E:E, B68, Movimentação!F:F))</f>
        <v/>
      </c>
      <c r="G68" s="12" t="str">
        <f t="shared" si="12"/>
        <v/>
      </c>
      <c r="H68" s="10" t="str">
        <f t="shared" si="13"/>
        <v/>
      </c>
      <c r="I68" s="12" t="str">
        <f t="shared" si="14"/>
        <v/>
      </c>
      <c r="J68" s="12"/>
    </row>
    <row r="69" spans="1:10" ht="24.95" customHeight="1" x14ac:dyDescent="0.25">
      <c r="A69" s="12" t="str">
        <f t="shared" si="10"/>
        <v/>
      </c>
      <c r="B69" s="12"/>
      <c r="C69" s="13"/>
      <c r="D69" s="12"/>
      <c r="E69" s="13" t="str">
        <f t="shared" si="11"/>
        <v/>
      </c>
      <c r="F69" s="12" t="str">
        <f>IF(B69="","", SUMIF(Movimentação!E:E, B69, Movimentação!F:F))</f>
        <v/>
      </c>
      <c r="G69" s="12" t="str">
        <f t="shared" si="12"/>
        <v/>
      </c>
      <c r="H69" s="10" t="str">
        <f t="shared" si="13"/>
        <v/>
      </c>
      <c r="I69" s="12" t="str">
        <f t="shared" si="14"/>
        <v/>
      </c>
      <c r="J69" s="12"/>
    </row>
    <row r="70" spans="1:10" ht="24.95" customHeight="1" x14ac:dyDescent="0.25">
      <c r="A70" s="12" t="str">
        <f t="shared" si="10"/>
        <v/>
      </c>
      <c r="B70" s="12"/>
      <c r="C70" s="13"/>
      <c r="D70" s="12"/>
      <c r="E70" s="13" t="str">
        <f t="shared" si="11"/>
        <v/>
      </c>
      <c r="F70" s="12" t="str">
        <f>IF(B70="","", SUMIF(Movimentação!E:E, B70, Movimentação!F:F))</f>
        <v/>
      </c>
      <c r="G70" s="12" t="str">
        <f t="shared" si="12"/>
        <v/>
      </c>
      <c r="H70" s="10" t="str">
        <f t="shared" si="13"/>
        <v/>
      </c>
      <c r="I70" s="12" t="str">
        <f t="shared" si="14"/>
        <v/>
      </c>
      <c r="J70" s="12"/>
    </row>
    <row r="71" spans="1:10" ht="24.95" customHeight="1" x14ac:dyDescent="0.25">
      <c r="A71" s="12" t="str">
        <f t="shared" si="10"/>
        <v/>
      </c>
      <c r="B71" s="12"/>
      <c r="C71" s="13"/>
      <c r="D71" s="12"/>
      <c r="E71" s="13" t="str">
        <f t="shared" si="11"/>
        <v/>
      </c>
      <c r="F71" s="12" t="str">
        <f>IF(B71="","", SUMIF(Movimentação!E:E, B71, Movimentação!F:F))</f>
        <v/>
      </c>
      <c r="G71" s="12" t="str">
        <f t="shared" si="12"/>
        <v/>
      </c>
      <c r="H71" s="10" t="str">
        <f t="shared" si="13"/>
        <v/>
      </c>
      <c r="I71" s="12" t="str">
        <f t="shared" si="14"/>
        <v/>
      </c>
      <c r="J71" s="12"/>
    </row>
    <row r="72" spans="1:10" ht="24.95" customHeight="1" x14ac:dyDescent="0.25">
      <c r="A72" s="12" t="str">
        <f t="shared" si="10"/>
        <v/>
      </c>
      <c r="B72" s="12"/>
      <c r="C72" s="13"/>
      <c r="D72" s="12"/>
      <c r="E72" s="13" t="str">
        <f t="shared" si="11"/>
        <v/>
      </c>
      <c r="F72" s="12" t="str">
        <f>IF(B72="","", SUMIF(Movimentação!E:E, B72, Movimentação!F:F))</f>
        <v/>
      </c>
      <c r="G72" s="12" t="str">
        <f t="shared" si="12"/>
        <v/>
      </c>
      <c r="H72" s="10" t="str">
        <f t="shared" si="13"/>
        <v/>
      </c>
      <c r="I72" s="12" t="str">
        <f t="shared" si="14"/>
        <v/>
      </c>
      <c r="J72" s="12"/>
    </row>
    <row r="73" spans="1:10" ht="24.95" customHeight="1" x14ac:dyDescent="0.25">
      <c r="A73" s="12" t="str">
        <f t="shared" si="10"/>
        <v/>
      </c>
      <c r="B73" s="12"/>
      <c r="C73" s="13"/>
      <c r="D73" s="12"/>
      <c r="E73" s="13" t="str">
        <f t="shared" si="11"/>
        <v/>
      </c>
      <c r="F73" s="12" t="str">
        <f>IF(B73="","", SUMIF(Movimentação!E:E, B73, Movimentação!F:F))</f>
        <v/>
      </c>
      <c r="G73" s="12" t="str">
        <f t="shared" si="12"/>
        <v/>
      </c>
      <c r="H73" s="10" t="str">
        <f t="shared" si="13"/>
        <v/>
      </c>
      <c r="I73" s="12" t="str">
        <f t="shared" si="14"/>
        <v/>
      </c>
      <c r="J73" s="12"/>
    </row>
    <row r="74" spans="1:10" ht="24.95" customHeight="1" x14ac:dyDescent="0.25">
      <c r="A74" s="12" t="str">
        <f t="shared" si="10"/>
        <v/>
      </c>
      <c r="B74" s="12"/>
      <c r="C74" s="13"/>
      <c r="D74" s="12"/>
      <c r="E74" s="13" t="str">
        <f t="shared" si="11"/>
        <v/>
      </c>
      <c r="F74" s="12" t="str">
        <f>IF(B74="","", SUMIF(Movimentação!E:E, B74, Movimentação!F:F))</f>
        <v/>
      </c>
      <c r="G74" s="12" t="str">
        <f t="shared" si="12"/>
        <v/>
      </c>
      <c r="H74" s="10" t="str">
        <f t="shared" si="13"/>
        <v/>
      </c>
      <c r="I74" s="12" t="str">
        <f t="shared" si="14"/>
        <v/>
      </c>
      <c r="J74" s="12"/>
    </row>
    <row r="75" spans="1:10" ht="24.95" customHeight="1" x14ac:dyDescent="0.25">
      <c r="A75" s="12" t="str">
        <f t="shared" si="10"/>
        <v/>
      </c>
      <c r="B75" s="12"/>
      <c r="C75" s="13"/>
      <c r="D75" s="12"/>
      <c r="E75" s="13" t="str">
        <f t="shared" si="11"/>
        <v/>
      </c>
      <c r="F75" s="12" t="str">
        <f>IF(B75="","", SUMIF(Movimentação!E:E, B75, Movimentação!F:F))</f>
        <v/>
      </c>
      <c r="G75" s="12" t="str">
        <f t="shared" si="12"/>
        <v/>
      </c>
      <c r="H75" s="10" t="str">
        <f t="shared" si="13"/>
        <v/>
      </c>
      <c r="I75" s="12" t="str">
        <f t="shared" si="14"/>
        <v/>
      </c>
      <c r="J75" s="12"/>
    </row>
    <row r="76" spans="1:10" ht="24.95" customHeight="1" x14ac:dyDescent="0.25">
      <c r="A76" s="12" t="str">
        <f t="shared" si="10"/>
        <v/>
      </c>
      <c r="B76" s="12"/>
      <c r="C76" s="13"/>
      <c r="D76" s="12"/>
      <c r="E76" s="13" t="str">
        <f t="shared" si="11"/>
        <v/>
      </c>
      <c r="F76" s="12" t="str">
        <f>IF(B76="","", SUMIF(Movimentação!E:E, B76, Movimentação!F:F))</f>
        <v/>
      </c>
      <c r="G76" s="12" t="str">
        <f t="shared" si="12"/>
        <v/>
      </c>
      <c r="H76" s="10" t="str">
        <f t="shared" si="13"/>
        <v/>
      </c>
      <c r="I76" s="12" t="str">
        <f t="shared" si="14"/>
        <v/>
      </c>
      <c r="J76" s="12"/>
    </row>
    <row r="77" spans="1:10" ht="24.95" customHeight="1" x14ac:dyDescent="0.25">
      <c r="A77" s="12" t="str">
        <f t="shared" si="10"/>
        <v/>
      </c>
      <c r="B77" s="12"/>
      <c r="C77" s="13"/>
      <c r="D77" s="12"/>
      <c r="E77" s="13" t="str">
        <f t="shared" si="11"/>
        <v/>
      </c>
      <c r="F77" s="12" t="str">
        <f>IF(B77="","", SUMIF(Movimentação!E:E, B77, Movimentação!F:F))</f>
        <v/>
      </c>
      <c r="G77" s="12" t="str">
        <f t="shared" si="12"/>
        <v/>
      </c>
      <c r="H77" s="10" t="str">
        <f t="shared" si="13"/>
        <v/>
      </c>
      <c r="I77" s="12" t="str">
        <f t="shared" si="14"/>
        <v/>
      </c>
      <c r="J77" s="12"/>
    </row>
    <row r="78" spans="1:10" ht="24.95" customHeight="1" x14ac:dyDescent="0.25">
      <c r="A78" s="12" t="str">
        <f t="shared" si="10"/>
        <v/>
      </c>
      <c r="B78" s="12"/>
      <c r="C78" s="13"/>
      <c r="D78" s="12"/>
      <c r="E78" s="13" t="str">
        <f t="shared" si="11"/>
        <v/>
      </c>
      <c r="F78" s="12" t="str">
        <f>IF(B78="","", SUMIF(Movimentação!E:E, B78, Movimentação!F:F))</f>
        <v/>
      </c>
      <c r="G78" s="12" t="str">
        <f t="shared" si="12"/>
        <v/>
      </c>
      <c r="H78" s="10" t="str">
        <f t="shared" si="13"/>
        <v/>
      </c>
      <c r="I78" s="12" t="str">
        <f t="shared" si="14"/>
        <v/>
      </c>
      <c r="J78" s="12"/>
    </row>
    <row r="79" spans="1:10" ht="24.95" customHeight="1" x14ac:dyDescent="0.25">
      <c r="A79" s="12" t="str">
        <f t="shared" si="10"/>
        <v/>
      </c>
      <c r="B79" s="12"/>
      <c r="C79" s="13"/>
      <c r="D79" s="12"/>
      <c r="E79" s="13" t="str">
        <f t="shared" si="11"/>
        <v/>
      </c>
      <c r="F79" s="12" t="str">
        <f>IF(B79="","", SUMIF(Movimentação!E:E, B79, Movimentação!F:F))</f>
        <v/>
      </c>
      <c r="G79" s="12" t="str">
        <f t="shared" si="12"/>
        <v/>
      </c>
      <c r="H79" s="10" t="str">
        <f t="shared" si="13"/>
        <v/>
      </c>
      <c r="I79" s="12" t="str">
        <f t="shared" si="14"/>
        <v/>
      </c>
      <c r="J79" s="12"/>
    </row>
    <row r="80" spans="1:10" ht="24.95" customHeight="1" x14ac:dyDescent="0.25">
      <c r="A80" s="12" t="str">
        <f t="shared" si="10"/>
        <v/>
      </c>
      <c r="B80" s="12"/>
      <c r="C80" s="13"/>
      <c r="D80" s="12"/>
      <c r="E80" s="13" t="str">
        <f t="shared" si="11"/>
        <v/>
      </c>
      <c r="F80" s="12" t="str">
        <f>IF(B80="","", SUMIF(Movimentação!E:E, B80, Movimentação!F:F))</f>
        <v/>
      </c>
      <c r="G80" s="12" t="str">
        <f t="shared" si="12"/>
        <v/>
      </c>
      <c r="H80" s="10" t="str">
        <f t="shared" si="13"/>
        <v/>
      </c>
      <c r="I80" s="12" t="str">
        <f t="shared" si="14"/>
        <v/>
      </c>
      <c r="J80" s="12"/>
    </row>
    <row r="81" spans="1:10" ht="24.95" customHeight="1" x14ac:dyDescent="0.25">
      <c r="A81" s="12" t="str">
        <f t="shared" si="10"/>
        <v/>
      </c>
      <c r="B81" s="12"/>
      <c r="C81" s="13"/>
      <c r="D81" s="12"/>
      <c r="E81" s="13" t="str">
        <f t="shared" si="11"/>
        <v/>
      </c>
      <c r="F81" s="12" t="str">
        <f>IF(B81="","", SUMIF(Movimentação!E:E, B81, Movimentação!F:F))</f>
        <v/>
      </c>
      <c r="G81" s="12" t="str">
        <f t="shared" si="12"/>
        <v/>
      </c>
      <c r="H81" s="10" t="str">
        <f t="shared" si="13"/>
        <v/>
      </c>
      <c r="I81" s="12" t="str">
        <f t="shared" si="14"/>
        <v/>
      </c>
      <c r="J81" s="12"/>
    </row>
    <row r="82" spans="1:10" ht="24.95" customHeight="1" x14ac:dyDescent="0.25">
      <c r="A82" s="12" t="str">
        <f t="shared" si="10"/>
        <v/>
      </c>
      <c r="B82" s="12"/>
      <c r="C82" s="13"/>
      <c r="D82" s="12"/>
      <c r="E82" s="13" t="str">
        <f t="shared" si="11"/>
        <v/>
      </c>
      <c r="F82" s="12" t="str">
        <f>IF(B82="","", SUMIF(Movimentação!E:E, B82, Movimentação!F:F))</f>
        <v/>
      </c>
      <c r="G82" s="12" t="str">
        <f t="shared" si="12"/>
        <v/>
      </c>
      <c r="H82" s="10" t="str">
        <f t="shared" si="13"/>
        <v/>
      </c>
      <c r="I82" s="12" t="str">
        <f t="shared" si="14"/>
        <v/>
      </c>
      <c r="J82" s="12"/>
    </row>
    <row r="83" spans="1:10" ht="24.95" customHeight="1" x14ac:dyDescent="0.25">
      <c r="A83" s="12" t="str">
        <f t="shared" si="10"/>
        <v/>
      </c>
      <c r="B83" s="12"/>
      <c r="C83" s="13"/>
      <c r="D83" s="12"/>
      <c r="E83" s="13" t="str">
        <f t="shared" si="11"/>
        <v/>
      </c>
      <c r="F83" s="12" t="str">
        <f>IF(B83="","", SUMIF(Movimentação!E:E, B83, Movimentação!F:F))</f>
        <v/>
      </c>
      <c r="G83" s="12" t="str">
        <f t="shared" si="12"/>
        <v/>
      </c>
      <c r="H83" s="10" t="str">
        <f t="shared" si="13"/>
        <v/>
      </c>
      <c r="I83" s="12" t="str">
        <f t="shared" si="14"/>
        <v/>
      </c>
      <c r="J83" s="12"/>
    </row>
    <row r="84" spans="1:10" ht="24.95" customHeight="1" x14ac:dyDescent="0.25">
      <c r="A84" s="12" t="str">
        <f t="shared" si="10"/>
        <v/>
      </c>
      <c r="B84" s="12"/>
      <c r="C84" s="13"/>
      <c r="D84" s="12"/>
      <c r="E84" s="13" t="str">
        <f t="shared" si="11"/>
        <v/>
      </c>
      <c r="F84" s="12" t="str">
        <f>IF(B84="","", SUMIF(Movimentação!E:E, B84, Movimentação!F:F))</f>
        <v/>
      </c>
      <c r="G84" s="12" t="str">
        <f t="shared" si="12"/>
        <v/>
      </c>
      <c r="H84" s="10" t="str">
        <f t="shared" si="13"/>
        <v/>
      </c>
      <c r="I84" s="12" t="str">
        <f t="shared" si="14"/>
        <v/>
      </c>
      <c r="J84" s="12"/>
    </row>
    <row r="85" spans="1:10" ht="24.95" customHeight="1" x14ac:dyDescent="0.25">
      <c r="A85" s="12" t="str">
        <f t="shared" si="10"/>
        <v/>
      </c>
      <c r="B85" s="12"/>
      <c r="C85" s="13"/>
      <c r="D85" s="12"/>
      <c r="E85" s="13" t="str">
        <f t="shared" si="11"/>
        <v/>
      </c>
      <c r="F85" s="12" t="str">
        <f>IF(B85="","", SUMIF(Movimentação!E:E, B85, Movimentação!F:F))</f>
        <v/>
      </c>
      <c r="G85" s="12" t="str">
        <f t="shared" si="12"/>
        <v/>
      </c>
      <c r="H85" s="10" t="str">
        <f t="shared" si="13"/>
        <v/>
      </c>
      <c r="I85" s="12" t="str">
        <f t="shared" si="14"/>
        <v/>
      </c>
      <c r="J85" s="12"/>
    </row>
    <row r="86" spans="1:10" ht="24.95" customHeight="1" x14ac:dyDescent="0.25">
      <c r="A86" s="12" t="str">
        <f t="shared" si="10"/>
        <v/>
      </c>
      <c r="B86" s="12"/>
      <c r="C86" s="13"/>
      <c r="D86" s="12"/>
      <c r="E86" s="13" t="str">
        <f t="shared" si="11"/>
        <v/>
      </c>
      <c r="F86" s="12" t="str">
        <f>IF(B86="","", SUMIF(Movimentação!E:E, B86, Movimentação!F:F))</f>
        <v/>
      </c>
      <c r="G86" s="12" t="str">
        <f t="shared" si="12"/>
        <v/>
      </c>
      <c r="H86" s="10" t="str">
        <f t="shared" si="13"/>
        <v/>
      </c>
      <c r="I86" s="12" t="str">
        <f t="shared" si="14"/>
        <v/>
      </c>
      <c r="J86" s="12"/>
    </row>
    <row r="87" spans="1:10" ht="24.95" customHeight="1" x14ac:dyDescent="0.25">
      <c r="A87" s="12" t="str">
        <f t="shared" si="10"/>
        <v/>
      </c>
      <c r="B87" s="12"/>
      <c r="C87" s="13"/>
      <c r="D87" s="12"/>
      <c r="E87" s="13" t="str">
        <f t="shared" si="11"/>
        <v/>
      </c>
      <c r="F87" s="12" t="str">
        <f>IF(B87="","", SUMIF(Movimentação!E:E, B87, Movimentação!F:F))</f>
        <v/>
      </c>
      <c r="G87" s="12" t="str">
        <f t="shared" si="12"/>
        <v/>
      </c>
      <c r="H87" s="10" t="str">
        <f t="shared" si="13"/>
        <v/>
      </c>
      <c r="I87" s="12" t="str">
        <f t="shared" si="14"/>
        <v/>
      </c>
      <c r="J87" s="12"/>
    </row>
    <row r="88" spans="1:10" ht="24.95" customHeight="1" x14ac:dyDescent="0.25">
      <c r="A88" s="12" t="str">
        <f t="shared" si="10"/>
        <v/>
      </c>
      <c r="B88" s="12"/>
      <c r="C88" s="13"/>
      <c r="D88" s="12"/>
      <c r="E88" s="13" t="str">
        <f t="shared" si="11"/>
        <v/>
      </c>
      <c r="F88" s="12" t="str">
        <f>IF(B88="","", SUMIF(Movimentação!E:E, B88, Movimentação!F:F))</f>
        <v/>
      </c>
      <c r="G88" s="12" t="str">
        <f t="shared" si="12"/>
        <v/>
      </c>
      <c r="H88" s="10" t="str">
        <f t="shared" si="13"/>
        <v/>
      </c>
      <c r="I88" s="12" t="str">
        <f t="shared" si="14"/>
        <v/>
      </c>
      <c r="J88" s="12"/>
    </row>
    <row r="89" spans="1:10" ht="24.95" customHeight="1" x14ac:dyDescent="0.25">
      <c r="A89" s="12" t="str">
        <f t="shared" si="10"/>
        <v/>
      </c>
      <c r="B89" s="12"/>
      <c r="C89" s="13"/>
      <c r="D89" s="12"/>
      <c r="E89" s="13" t="str">
        <f t="shared" si="11"/>
        <v/>
      </c>
      <c r="F89" s="12" t="str">
        <f>IF(B89="","", SUMIF(Movimentação!E:E, B89, Movimentação!F:F))</f>
        <v/>
      </c>
      <c r="G89" s="12" t="str">
        <f t="shared" si="12"/>
        <v/>
      </c>
      <c r="H89" s="10" t="str">
        <f t="shared" si="13"/>
        <v/>
      </c>
      <c r="I89" s="12" t="str">
        <f t="shared" si="14"/>
        <v/>
      </c>
      <c r="J89" s="12"/>
    </row>
    <row r="90" spans="1:10" ht="24.95" customHeight="1" x14ac:dyDescent="0.25">
      <c r="A90" s="12" t="str">
        <f t="shared" si="10"/>
        <v/>
      </c>
      <c r="B90" s="12"/>
      <c r="C90" s="13"/>
      <c r="D90" s="12"/>
      <c r="E90" s="13" t="str">
        <f t="shared" si="11"/>
        <v/>
      </c>
      <c r="F90" s="12" t="str">
        <f>IF(B90="","", SUMIF(Movimentação!E:E, B90, Movimentação!F:F))</f>
        <v/>
      </c>
      <c r="G90" s="12" t="str">
        <f t="shared" si="12"/>
        <v/>
      </c>
      <c r="H90" s="10" t="str">
        <f t="shared" si="13"/>
        <v/>
      </c>
      <c r="I90" s="12" t="str">
        <f t="shared" si="14"/>
        <v/>
      </c>
      <c r="J90" s="12"/>
    </row>
    <row r="91" spans="1:10" ht="24.95" customHeight="1" x14ac:dyDescent="0.25">
      <c r="A91" s="12" t="str">
        <f t="shared" si="10"/>
        <v/>
      </c>
      <c r="B91" s="12"/>
      <c r="C91" s="13"/>
      <c r="D91" s="12"/>
      <c r="E91" s="13" t="str">
        <f t="shared" si="11"/>
        <v/>
      </c>
      <c r="F91" s="12" t="str">
        <f>IF(B91="","", SUMIF(Movimentação!E:E, B91, Movimentação!F:F))</f>
        <v/>
      </c>
      <c r="G91" s="12" t="str">
        <f t="shared" si="12"/>
        <v/>
      </c>
      <c r="H91" s="10" t="str">
        <f t="shared" si="13"/>
        <v/>
      </c>
      <c r="I91" s="12" t="str">
        <f t="shared" si="14"/>
        <v/>
      </c>
      <c r="J91" s="12"/>
    </row>
    <row r="92" spans="1:10" ht="24.95" customHeight="1" x14ac:dyDescent="0.25">
      <c r="A92" s="12" t="str">
        <f t="shared" si="10"/>
        <v/>
      </c>
      <c r="B92" s="12"/>
      <c r="C92" s="13"/>
      <c r="D92" s="12"/>
      <c r="E92" s="13" t="str">
        <f t="shared" si="11"/>
        <v/>
      </c>
      <c r="F92" s="12" t="str">
        <f>IF(B92="","", SUMIF(Movimentação!E:E, B92, Movimentação!F:F))</f>
        <v/>
      </c>
      <c r="G92" s="12" t="str">
        <f t="shared" si="12"/>
        <v/>
      </c>
      <c r="H92" s="10" t="str">
        <f t="shared" si="13"/>
        <v/>
      </c>
      <c r="I92" s="12" t="str">
        <f t="shared" si="14"/>
        <v/>
      </c>
      <c r="J92" s="12"/>
    </row>
    <row r="93" spans="1:10" ht="24.95" customHeight="1" x14ac:dyDescent="0.25">
      <c r="A93" s="12" t="str">
        <f t="shared" si="10"/>
        <v/>
      </c>
      <c r="B93" s="12"/>
      <c r="C93" s="13"/>
      <c r="D93" s="12"/>
      <c r="E93" s="13" t="str">
        <f t="shared" si="11"/>
        <v/>
      </c>
      <c r="F93" s="12" t="str">
        <f>IF(B93="","", SUMIF(Movimentação!E:E, B93, Movimentação!F:F))</f>
        <v/>
      </c>
      <c r="G93" s="12" t="str">
        <f t="shared" si="12"/>
        <v/>
      </c>
      <c r="H93" s="10" t="str">
        <f t="shared" si="13"/>
        <v/>
      </c>
      <c r="I93" s="12" t="str">
        <f t="shared" si="14"/>
        <v/>
      </c>
      <c r="J93" s="12"/>
    </row>
    <row r="94" spans="1:10" ht="24.95" customHeight="1" x14ac:dyDescent="0.25">
      <c r="A94" s="12" t="str">
        <f t="shared" si="10"/>
        <v/>
      </c>
      <c r="B94" s="12"/>
      <c r="C94" s="13"/>
      <c r="D94" s="12"/>
      <c r="E94" s="13" t="str">
        <f t="shared" si="11"/>
        <v/>
      </c>
      <c r="F94" s="12" t="str">
        <f>IF(B94="","", SUMIF(Movimentação!E:E, B94, Movimentação!F:F))</f>
        <v/>
      </c>
      <c r="G94" s="12" t="str">
        <f t="shared" si="12"/>
        <v/>
      </c>
      <c r="H94" s="10" t="str">
        <f t="shared" si="13"/>
        <v/>
      </c>
      <c r="I94" s="12" t="str">
        <f t="shared" si="14"/>
        <v/>
      </c>
      <c r="J94" s="12"/>
    </row>
    <row r="95" spans="1:10" ht="24.95" customHeight="1" x14ac:dyDescent="0.25">
      <c r="A95" s="12" t="str">
        <f t="shared" si="10"/>
        <v/>
      </c>
      <c r="B95" s="12"/>
      <c r="C95" s="13"/>
      <c r="D95" s="12"/>
      <c r="E95" s="13" t="str">
        <f t="shared" si="11"/>
        <v/>
      </c>
      <c r="F95" s="12" t="str">
        <f>IF(B95="","", SUMIF(Movimentação!E:E, B95, Movimentação!F:F))</f>
        <v/>
      </c>
      <c r="G95" s="12" t="str">
        <f t="shared" si="12"/>
        <v/>
      </c>
      <c r="H95" s="10" t="str">
        <f t="shared" si="13"/>
        <v/>
      </c>
      <c r="I95" s="12" t="str">
        <f t="shared" si="14"/>
        <v/>
      </c>
      <c r="J95" s="12"/>
    </row>
    <row r="96" spans="1:10" ht="24.95" customHeight="1" x14ac:dyDescent="0.25">
      <c r="A96" s="12" t="str">
        <f t="shared" si="10"/>
        <v/>
      </c>
      <c r="B96" s="12"/>
      <c r="C96" s="13"/>
      <c r="D96" s="12"/>
      <c r="E96" s="13" t="str">
        <f t="shared" si="11"/>
        <v/>
      </c>
      <c r="F96" s="12" t="str">
        <f>IF(B96="","", SUMIF(Movimentação!E:E, B96, Movimentação!F:F))</f>
        <v/>
      </c>
      <c r="G96" s="12" t="str">
        <f t="shared" si="12"/>
        <v/>
      </c>
      <c r="H96" s="10" t="str">
        <f t="shared" si="13"/>
        <v/>
      </c>
      <c r="I96" s="12" t="str">
        <f t="shared" si="14"/>
        <v/>
      </c>
      <c r="J96" s="12"/>
    </row>
    <row r="97" spans="1:10" ht="24.95" customHeight="1" x14ac:dyDescent="0.25">
      <c r="A97" s="12" t="str">
        <f t="shared" si="10"/>
        <v/>
      </c>
      <c r="B97" s="12"/>
      <c r="C97" s="13"/>
      <c r="D97" s="12"/>
      <c r="E97" s="13" t="str">
        <f t="shared" si="11"/>
        <v/>
      </c>
      <c r="F97" s="12" t="str">
        <f>IF(B97="","", SUMIF(Movimentação!E:E, B97, Movimentação!F:F))</f>
        <v/>
      </c>
      <c r="G97" s="12" t="str">
        <f t="shared" si="12"/>
        <v/>
      </c>
      <c r="H97" s="10" t="str">
        <f t="shared" si="13"/>
        <v/>
      </c>
      <c r="I97" s="12" t="str">
        <f t="shared" si="14"/>
        <v/>
      </c>
      <c r="J97" s="12"/>
    </row>
    <row r="98" spans="1:10" ht="24.95" customHeight="1" x14ac:dyDescent="0.25">
      <c r="A98" s="12" t="str">
        <f t="shared" ref="A98:A100" si="15">IF(B98&lt;&gt;"", ROW()-1, "")</f>
        <v/>
      </c>
      <c r="B98" s="12"/>
      <c r="C98" s="13"/>
      <c r="D98" s="12"/>
      <c r="E98" s="13" t="str">
        <f t="shared" ref="E98:E100" si="16">IF(B98="","", C98*D98)</f>
        <v/>
      </c>
      <c r="F98" s="12" t="str">
        <f>IF(B98="","", SUMIF(Movimentação!E:E, B98, Movimentação!F:F))</f>
        <v/>
      </c>
      <c r="G98" s="12" t="str">
        <f t="shared" ref="G98:G100" si="17">IF(B98="","", D98 - F98)</f>
        <v/>
      </c>
      <c r="H98" s="10" t="str">
        <f t="shared" ref="H98:H100" si="18">IF(OR(B98="", D98="", D98=0), "", G98/D98)</f>
        <v/>
      </c>
      <c r="I98" s="12" t="str">
        <f t="shared" si="14"/>
        <v/>
      </c>
      <c r="J98" s="12"/>
    </row>
    <row r="99" spans="1:10" ht="24.95" customHeight="1" x14ac:dyDescent="0.25">
      <c r="A99" s="12" t="str">
        <f t="shared" si="15"/>
        <v/>
      </c>
      <c r="B99" s="12"/>
      <c r="C99" s="13"/>
      <c r="D99" s="12"/>
      <c r="E99" s="13" t="str">
        <f t="shared" si="16"/>
        <v/>
      </c>
      <c r="F99" s="12" t="str">
        <f>IF(B99="","", SUMIF(Movimentação!E:E, B99, Movimentação!F:F))</f>
        <v/>
      </c>
      <c r="G99" s="12" t="str">
        <f t="shared" si="17"/>
        <v/>
      </c>
      <c r="H99" s="10" t="str">
        <f t="shared" si="18"/>
        <v/>
      </c>
      <c r="I99" s="12" t="str">
        <f t="shared" si="14"/>
        <v/>
      </c>
      <c r="J99" s="12"/>
    </row>
    <row r="100" spans="1:10" ht="24.95" customHeight="1" x14ac:dyDescent="0.25">
      <c r="A100" s="12" t="str">
        <f t="shared" si="15"/>
        <v/>
      </c>
      <c r="B100" s="12"/>
      <c r="C100" s="13"/>
      <c r="D100" s="12"/>
      <c r="E100" s="13" t="str">
        <f t="shared" si="16"/>
        <v/>
      </c>
      <c r="F100" s="12" t="str">
        <f>IF(B100="","", SUMIF(Movimentação!E:E, B100, Movimentação!F:F))</f>
        <v/>
      </c>
      <c r="G100" s="12" t="str">
        <f t="shared" si="17"/>
        <v/>
      </c>
      <c r="H100" s="10" t="str">
        <f t="shared" si="18"/>
        <v/>
      </c>
      <c r="I100" s="12" t="str">
        <f t="shared" si="14"/>
        <v/>
      </c>
      <c r="J100" s="12"/>
    </row>
  </sheetData>
  <dataValidations count="1">
    <dataValidation type="custom" allowBlank="1" showInputMessage="1" showErrorMessage="1" error="Este produto já foi cadastrado!" sqref="B2:B100" xr:uid="{00000000-0002-0000-0000-000000000000}">
      <formula1>COUNTIF($B$2:$B$100, B2)&lt;=1</formula1>
    </dataValidation>
  </dataValidation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500"/>
  <sheetViews>
    <sheetView workbookViewId="0">
      <selection activeCell="F4" sqref="F4"/>
    </sheetView>
  </sheetViews>
  <sheetFormatPr defaultRowHeight="19.5" x14ac:dyDescent="0.3"/>
  <cols>
    <col min="1" max="1" width="25.7109375" style="6" customWidth="1"/>
    <col min="2" max="2" width="25.7109375" style="7" customWidth="1"/>
    <col min="3" max="5" width="25.7109375" style="8" customWidth="1"/>
    <col min="6" max="6" width="25.7109375" style="7" customWidth="1"/>
    <col min="7" max="7" width="25.7109375" style="9" customWidth="1"/>
    <col min="8" max="16384" width="9.140625" style="8"/>
  </cols>
  <sheetData>
    <row r="1" spans="1:7" ht="24.95" customHeight="1" x14ac:dyDescent="0.3">
      <c r="A1" s="5" t="s">
        <v>8</v>
      </c>
      <c r="B1" s="5" t="s">
        <v>9</v>
      </c>
      <c r="C1" s="5" t="s">
        <v>10</v>
      </c>
      <c r="D1" s="5" t="s">
        <v>11</v>
      </c>
      <c r="E1" s="5" t="s">
        <v>1</v>
      </c>
      <c r="F1" s="5" t="s">
        <v>12</v>
      </c>
      <c r="G1" s="5" t="s">
        <v>16</v>
      </c>
    </row>
    <row r="2" spans="1:7" ht="24.95" customHeight="1" x14ac:dyDescent="0.3">
      <c r="A2" s="14"/>
      <c r="B2" s="15" t="str">
        <f t="shared" ref="B2:B65" si="0">IF(A2="","", MONTH(A2))</f>
        <v/>
      </c>
      <c r="C2" s="15"/>
      <c r="D2" s="15"/>
      <c r="E2" s="15"/>
      <c r="F2" s="15"/>
      <c r="G2" s="16" t="str">
        <f>IF(ISBLANK(E2), "", F2 * VLOOKUP(E2, Estoque_Cadastro!$B$2:$C$100, 2, FALSE))</f>
        <v/>
      </c>
    </row>
    <row r="3" spans="1:7" ht="24.95" customHeight="1" x14ac:dyDescent="0.3">
      <c r="A3" s="14"/>
      <c r="B3" s="15" t="str">
        <f t="shared" si="0"/>
        <v/>
      </c>
      <c r="C3" s="15"/>
      <c r="D3" s="15"/>
      <c r="E3" s="15"/>
      <c r="F3" s="15"/>
      <c r="G3" s="16" t="str">
        <f>IF(ISBLANK(E3), "", F3 * VLOOKUP(E3, Estoque_Cadastro!$B$2:$C$100, 2, FALSE))</f>
        <v/>
      </c>
    </row>
    <row r="4" spans="1:7" ht="24.95" customHeight="1" x14ac:dyDescent="0.3">
      <c r="A4" s="14"/>
      <c r="B4" s="15" t="str">
        <f t="shared" si="0"/>
        <v/>
      </c>
      <c r="C4" s="15"/>
      <c r="D4" s="15"/>
      <c r="E4" s="15"/>
      <c r="F4" s="15"/>
      <c r="G4" s="16" t="str">
        <f>IF(ISBLANK(E4), "", F4 * VLOOKUP(E4, Estoque_Cadastro!$B$2:$C$100, 2, FALSE))</f>
        <v/>
      </c>
    </row>
    <row r="5" spans="1:7" ht="24.95" customHeight="1" x14ac:dyDescent="0.3">
      <c r="A5" s="14"/>
      <c r="B5" s="15" t="str">
        <f t="shared" si="0"/>
        <v/>
      </c>
      <c r="C5" s="15"/>
      <c r="D5" s="15"/>
      <c r="E5" s="15"/>
      <c r="F5" s="15"/>
      <c r="G5" s="16" t="str">
        <f>IF(ISBLANK(E5), "", F5 * VLOOKUP(E5, Estoque_Cadastro!$B$2:$C$100, 2, FALSE))</f>
        <v/>
      </c>
    </row>
    <row r="6" spans="1:7" ht="24.95" customHeight="1" x14ac:dyDescent="0.3">
      <c r="A6" s="14"/>
      <c r="B6" s="15" t="str">
        <f t="shared" si="0"/>
        <v/>
      </c>
      <c r="C6" s="15"/>
      <c r="D6" s="15"/>
      <c r="E6" s="15"/>
      <c r="F6" s="15"/>
      <c r="G6" s="16" t="str">
        <f>IF(ISBLANK(E6), "", F6 * VLOOKUP(E6, Estoque_Cadastro!$B$2:$C$100, 2, FALSE))</f>
        <v/>
      </c>
    </row>
    <row r="7" spans="1:7" ht="24.95" customHeight="1" x14ac:dyDescent="0.3">
      <c r="A7" s="14"/>
      <c r="B7" s="15" t="str">
        <f t="shared" si="0"/>
        <v/>
      </c>
      <c r="C7" s="15"/>
      <c r="D7" s="15"/>
      <c r="E7" s="15"/>
      <c r="F7" s="15"/>
      <c r="G7" s="16" t="str">
        <f>IF(ISBLANK(E7), "", F7 * VLOOKUP(E7, Estoque_Cadastro!$B$2:$C$100, 2, FALSE))</f>
        <v/>
      </c>
    </row>
    <row r="8" spans="1:7" ht="24.95" customHeight="1" x14ac:dyDescent="0.3">
      <c r="A8" s="14"/>
      <c r="B8" s="15" t="str">
        <f t="shared" si="0"/>
        <v/>
      </c>
      <c r="C8" s="15"/>
      <c r="D8" s="15"/>
      <c r="E8" s="15"/>
      <c r="F8" s="15"/>
      <c r="G8" s="16" t="str">
        <f>IF(ISBLANK(E8), "", F8 * VLOOKUP(E8, Estoque_Cadastro!$B$2:$C$100, 2, FALSE))</f>
        <v/>
      </c>
    </row>
    <row r="9" spans="1:7" ht="24.95" customHeight="1" x14ac:dyDescent="0.3">
      <c r="A9" s="14"/>
      <c r="B9" s="15" t="str">
        <f t="shared" si="0"/>
        <v/>
      </c>
      <c r="C9" s="15"/>
      <c r="D9" s="15"/>
      <c r="E9" s="15"/>
      <c r="F9" s="15"/>
      <c r="G9" s="16" t="str">
        <f>IF(ISBLANK(E9), "", F9 * VLOOKUP(E9, Estoque_Cadastro!$B$2:$C$100, 2, FALSE))</f>
        <v/>
      </c>
    </row>
    <row r="10" spans="1:7" ht="24.95" customHeight="1" x14ac:dyDescent="0.3">
      <c r="A10" s="14"/>
      <c r="B10" s="15" t="str">
        <f t="shared" si="0"/>
        <v/>
      </c>
      <c r="C10" s="15"/>
      <c r="D10" s="15"/>
      <c r="E10" s="15"/>
      <c r="F10" s="15"/>
      <c r="G10" s="16" t="str">
        <f>IF(ISBLANK(E10), "", F10 * VLOOKUP(E10, Estoque_Cadastro!$B$2:$C$100, 2, FALSE))</f>
        <v/>
      </c>
    </row>
    <row r="11" spans="1:7" ht="24.95" customHeight="1" x14ac:dyDescent="0.3">
      <c r="A11" s="14"/>
      <c r="B11" s="15" t="str">
        <f t="shared" si="0"/>
        <v/>
      </c>
      <c r="C11" s="15"/>
      <c r="D11" s="15"/>
      <c r="E11" s="15"/>
      <c r="F11" s="15"/>
      <c r="G11" s="16" t="str">
        <f>IF(ISBLANK(E11), "", F11 * VLOOKUP(E11, Estoque_Cadastro!$B$2:$C$100, 2, FALSE))</f>
        <v/>
      </c>
    </row>
    <row r="12" spans="1:7" ht="24.95" customHeight="1" x14ac:dyDescent="0.3">
      <c r="A12" s="14"/>
      <c r="B12" s="15" t="str">
        <f t="shared" si="0"/>
        <v/>
      </c>
      <c r="C12" s="15"/>
      <c r="D12" s="15"/>
      <c r="E12" s="15"/>
      <c r="F12" s="15"/>
      <c r="G12" s="16" t="str">
        <f>IF(ISBLANK(E12), "", F12 * VLOOKUP(E12, Estoque_Cadastro!$B$2:$C$100, 2, FALSE))</f>
        <v/>
      </c>
    </row>
    <row r="13" spans="1:7" ht="24.95" customHeight="1" x14ac:dyDescent="0.3">
      <c r="A13" s="14"/>
      <c r="B13" s="15" t="str">
        <f t="shared" si="0"/>
        <v/>
      </c>
      <c r="C13" s="15"/>
      <c r="D13" s="15"/>
      <c r="E13" s="15"/>
      <c r="F13" s="15"/>
      <c r="G13" s="16" t="str">
        <f>IF(ISBLANK(E13), "", F13 * VLOOKUP(E13, Estoque_Cadastro!$B$2:$C$100, 2, FALSE))</f>
        <v/>
      </c>
    </row>
    <row r="14" spans="1:7" ht="24.95" customHeight="1" x14ac:dyDescent="0.3">
      <c r="A14" s="14"/>
      <c r="B14" s="15" t="str">
        <f t="shared" si="0"/>
        <v/>
      </c>
      <c r="C14" s="15"/>
      <c r="D14" s="15"/>
      <c r="E14" s="15"/>
      <c r="F14" s="15"/>
      <c r="G14" s="16" t="str">
        <f>IF(ISBLANK(E14), "", F14 * VLOOKUP(E14, Estoque_Cadastro!$B$2:$C$100, 2, FALSE))</f>
        <v/>
      </c>
    </row>
    <row r="15" spans="1:7" ht="24.95" customHeight="1" x14ac:dyDescent="0.3">
      <c r="A15" s="14"/>
      <c r="B15" s="15" t="str">
        <f t="shared" si="0"/>
        <v/>
      </c>
      <c r="C15" s="15"/>
      <c r="D15" s="15"/>
      <c r="E15" s="15"/>
      <c r="F15" s="15"/>
      <c r="G15" s="16" t="str">
        <f>IF(ISBLANK(E15), "", F15 * VLOOKUP(E15, Estoque_Cadastro!$B$2:$C$100, 2, FALSE))</f>
        <v/>
      </c>
    </row>
    <row r="16" spans="1:7" ht="24.95" customHeight="1" x14ac:dyDescent="0.3">
      <c r="A16" s="14"/>
      <c r="B16" s="15" t="str">
        <f t="shared" si="0"/>
        <v/>
      </c>
      <c r="C16" s="15"/>
      <c r="D16" s="15"/>
      <c r="E16" s="15"/>
      <c r="F16" s="15"/>
      <c r="G16" s="16" t="str">
        <f>IF(ISBLANK(E16), "", F16 * VLOOKUP(E16, Estoque_Cadastro!$B$2:$C$100, 2, FALSE))</f>
        <v/>
      </c>
    </row>
    <row r="17" spans="1:7" ht="24.95" customHeight="1" x14ac:dyDescent="0.3">
      <c r="A17" s="14"/>
      <c r="B17" s="15" t="str">
        <f t="shared" si="0"/>
        <v/>
      </c>
      <c r="C17" s="15"/>
      <c r="D17" s="15"/>
      <c r="E17" s="15"/>
      <c r="F17" s="15"/>
      <c r="G17" s="16" t="str">
        <f>IF(ISBLANK(E17), "", F17 * VLOOKUP(E17, Estoque_Cadastro!$B$2:$C$100, 2, FALSE))</f>
        <v/>
      </c>
    </row>
    <row r="18" spans="1:7" ht="24.95" customHeight="1" x14ac:dyDescent="0.3">
      <c r="A18" s="14"/>
      <c r="B18" s="15" t="str">
        <f t="shared" si="0"/>
        <v/>
      </c>
      <c r="C18" s="15"/>
      <c r="D18" s="15"/>
      <c r="E18" s="15"/>
      <c r="F18" s="15"/>
      <c r="G18" s="16" t="str">
        <f>IF(ISBLANK(E18), "", F18 * VLOOKUP(E18, Estoque_Cadastro!$B$2:$C$100, 2, FALSE))</f>
        <v/>
      </c>
    </row>
    <row r="19" spans="1:7" ht="24.95" customHeight="1" x14ac:dyDescent="0.3">
      <c r="A19" s="14"/>
      <c r="B19" s="15" t="str">
        <f t="shared" si="0"/>
        <v/>
      </c>
      <c r="C19" s="15"/>
      <c r="D19" s="15"/>
      <c r="E19" s="15"/>
      <c r="F19" s="15"/>
      <c r="G19" s="16" t="str">
        <f>IF(ISBLANK(E19), "", F19 * VLOOKUP(E19, Estoque_Cadastro!$B$2:$C$100, 2, FALSE))</f>
        <v/>
      </c>
    </row>
    <row r="20" spans="1:7" ht="24.95" customHeight="1" x14ac:dyDescent="0.3">
      <c r="A20" s="14"/>
      <c r="B20" s="15" t="str">
        <f t="shared" si="0"/>
        <v/>
      </c>
      <c r="C20" s="15"/>
      <c r="D20" s="15"/>
      <c r="E20" s="15"/>
      <c r="F20" s="15"/>
      <c r="G20" s="16" t="str">
        <f>IF(ISBLANK(E20), "", F20 * VLOOKUP(E20, Estoque_Cadastro!$B$2:$C$100, 2, FALSE))</f>
        <v/>
      </c>
    </row>
    <row r="21" spans="1:7" ht="24.95" customHeight="1" x14ac:dyDescent="0.3">
      <c r="A21" s="14"/>
      <c r="B21" s="15" t="str">
        <f t="shared" si="0"/>
        <v/>
      </c>
      <c r="C21" s="15"/>
      <c r="D21" s="15"/>
      <c r="E21" s="15"/>
      <c r="F21" s="15"/>
      <c r="G21" s="16" t="str">
        <f>IF(ISBLANK(E21), "", F21 * VLOOKUP(E21, Estoque_Cadastro!$B$2:$C$100, 2, FALSE))</f>
        <v/>
      </c>
    </row>
    <row r="22" spans="1:7" ht="24.95" customHeight="1" x14ac:dyDescent="0.3">
      <c r="A22" s="14"/>
      <c r="B22" s="15" t="str">
        <f t="shared" si="0"/>
        <v/>
      </c>
      <c r="C22" s="15"/>
      <c r="D22" s="15"/>
      <c r="E22" s="15"/>
      <c r="F22" s="15"/>
      <c r="G22" s="16" t="str">
        <f>IF(ISBLANK(E22), "", F22 * VLOOKUP(E22, Estoque_Cadastro!$B$2:$C$100, 2, FALSE))</f>
        <v/>
      </c>
    </row>
    <row r="23" spans="1:7" ht="24.95" customHeight="1" x14ac:dyDescent="0.3">
      <c r="A23" s="14"/>
      <c r="B23" s="15" t="str">
        <f t="shared" si="0"/>
        <v/>
      </c>
      <c r="C23" s="15"/>
      <c r="D23" s="15"/>
      <c r="E23" s="15"/>
      <c r="F23" s="15"/>
      <c r="G23" s="16" t="str">
        <f>IF(ISBLANK(E23), "", F23 * VLOOKUP(E23, Estoque_Cadastro!$B$2:$C$100, 2, FALSE))</f>
        <v/>
      </c>
    </row>
    <row r="24" spans="1:7" ht="24.95" customHeight="1" x14ac:dyDescent="0.3">
      <c r="A24" s="14"/>
      <c r="B24" s="15" t="str">
        <f t="shared" si="0"/>
        <v/>
      </c>
      <c r="C24" s="15"/>
      <c r="D24" s="15"/>
      <c r="E24" s="15"/>
      <c r="F24" s="15"/>
      <c r="G24" s="16" t="str">
        <f>IF(ISBLANK(E24), "", F24 * VLOOKUP(E24, Estoque_Cadastro!$B$2:$C$100, 2, FALSE))</f>
        <v/>
      </c>
    </row>
    <row r="25" spans="1:7" ht="24.95" customHeight="1" x14ac:dyDescent="0.3">
      <c r="A25" s="14"/>
      <c r="B25" s="15" t="str">
        <f t="shared" si="0"/>
        <v/>
      </c>
      <c r="C25" s="15"/>
      <c r="D25" s="15"/>
      <c r="E25" s="15"/>
      <c r="F25" s="15"/>
      <c r="G25" s="16" t="str">
        <f>IF(ISBLANK(E25), "", F25 * VLOOKUP(E25, Estoque_Cadastro!$B$2:$C$100, 2, FALSE))</f>
        <v/>
      </c>
    </row>
    <row r="26" spans="1:7" ht="24.95" customHeight="1" x14ac:dyDescent="0.3">
      <c r="A26" s="14"/>
      <c r="B26" s="15" t="str">
        <f t="shared" si="0"/>
        <v/>
      </c>
      <c r="C26" s="15"/>
      <c r="D26" s="15"/>
      <c r="E26" s="15"/>
      <c r="F26" s="15"/>
      <c r="G26" s="16" t="str">
        <f>IF(ISBLANK(E26), "", F26 * VLOOKUP(E26, Estoque_Cadastro!$B$2:$C$100, 2, FALSE))</f>
        <v/>
      </c>
    </row>
    <row r="27" spans="1:7" ht="24.95" customHeight="1" x14ac:dyDescent="0.3">
      <c r="A27" s="14"/>
      <c r="B27" s="15" t="str">
        <f t="shared" si="0"/>
        <v/>
      </c>
      <c r="C27" s="15"/>
      <c r="D27" s="15"/>
      <c r="E27" s="15"/>
      <c r="F27" s="15"/>
      <c r="G27" s="16" t="str">
        <f>IF(ISBLANK(E27), "", F27 * VLOOKUP(E27, Estoque_Cadastro!$B$2:$C$100, 2, FALSE))</f>
        <v/>
      </c>
    </row>
    <row r="28" spans="1:7" ht="24.95" customHeight="1" x14ac:dyDescent="0.3">
      <c r="A28" s="14"/>
      <c r="B28" s="15" t="str">
        <f t="shared" si="0"/>
        <v/>
      </c>
      <c r="C28" s="15"/>
      <c r="D28" s="15"/>
      <c r="E28" s="15"/>
      <c r="F28" s="15"/>
      <c r="G28" s="16" t="str">
        <f>IF(ISBLANK(E28), "", F28 * VLOOKUP(E28, Estoque_Cadastro!$B$2:$C$100, 2, FALSE))</f>
        <v/>
      </c>
    </row>
    <row r="29" spans="1:7" ht="24.95" customHeight="1" x14ac:dyDescent="0.3">
      <c r="A29" s="14"/>
      <c r="B29" s="15" t="str">
        <f t="shared" si="0"/>
        <v/>
      </c>
      <c r="C29" s="15"/>
      <c r="D29" s="15"/>
      <c r="E29" s="15"/>
      <c r="F29" s="15"/>
      <c r="G29" s="16" t="str">
        <f>IF(ISBLANK(E29), "", F29 * VLOOKUP(E29, Estoque_Cadastro!$B$2:$C$100, 2, FALSE))</f>
        <v/>
      </c>
    </row>
    <row r="30" spans="1:7" ht="24.95" customHeight="1" x14ac:dyDescent="0.3">
      <c r="A30" s="14"/>
      <c r="B30" s="15" t="str">
        <f t="shared" si="0"/>
        <v/>
      </c>
      <c r="C30" s="15"/>
      <c r="D30" s="15"/>
      <c r="E30" s="15"/>
      <c r="F30" s="15"/>
      <c r="G30" s="16" t="str">
        <f>IF(ISBLANK(E30), "", F30 * VLOOKUP(E30, Estoque_Cadastro!$B$2:$C$100, 2, FALSE))</f>
        <v/>
      </c>
    </row>
    <row r="31" spans="1:7" ht="24.95" customHeight="1" x14ac:dyDescent="0.3">
      <c r="A31" s="14"/>
      <c r="B31" s="15" t="str">
        <f t="shared" si="0"/>
        <v/>
      </c>
      <c r="C31" s="15"/>
      <c r="D31" s="15"/>
      <c r="E31" s="15"/>
      <c r="F31" s="15"/>
      <c r="G31" s="16" t="str">
        <f>IF(ISBLANK(E31), "", F31 * VLOOKUP(E31, Estoque_Cadastro!$B$2:$C$100, 2, FALSE))</f>
        <v/>
      </c>
    </row>
    <row r="32" spans="1:7" ht="24.95" customHeight="1" x14ac:dyDescent="0.3">
      <c r="A32" s="14"/>
      <c r="B32" s="15" t="str">
        <f t="shared" si="0"/>
        <v/>
      </c>
      <c r="C32" s="15"/>
      <c r="D32" s="15"/>
      <c r="E32" s="15"/>
      <c r="F32" s="15"/>
      <c r="G32" s="16" t="str">
        <f>IF(ISBLANK(E32), "", F32 * VLOOKUP(E32, Estoque_Cadastro!$B$2:$C$100, 2, FALSE))</f>
        <v/>
      </c>
    </row>
    <row r="33" spans="1:7" ht="24.95" customHeight="1" x14ac:dyDescent="0.3">
      <c r="A33" s="14"/>
      <c r="B33" s="15" t="str">
        <f t="shared" si="0"/>
        <v/>
      </c>
      <c r="C33" s="15"/>
      <c r="D33" s="15"/>
      <c r="E33" s="15"/>
      <c r="F33" s="15"/>
      <c r="G33" s="16" t="str">
        <f>IF(ISBLANK(E33), "", F33 * VLOOKUP(E33, Estoque_Cadastro!$B$2:$C$100, 2, FALSE))</f>
        <v/>
      </c>
    </row>
    <row r="34" spans="1:7" ht="24.95" customHeight="1" x14ac:dyDescent="0.3">
      <c r="A34" s="14"/>
      <c r="B34" s="15" t="str">
        <f t="shared" si="0"/>
        <v/>
      </c>
      <c r="C34" s="15"/>
      <c r="D34" s="15"/>
      <c r="E34" s="15"/>
      <c r="F34" s="15"/>
      <c r="G34" s="16" t="str">
        <f>IF(ISBLANK(E34), "", F34 * VLOOKUP(E34, Estoque_Cadastro!$B$2:$C$100, 2, FALSE))</f>
        <v/>
      </c>
    </row>
    <row r="35" spans="1:7" ht="24.95" customHeight="1" x14ac:dyDescent="0.3">
      <c r="A35" s="14"/>
      <c r="B35" s="15" t="str">
        <f t="shared" si="0"/>
        <v/>
      </c>
      <c r="C35" s="15"/>
      <c r="D35" s="15"/>
      <c r="E35" s="15"/>
      <c r="F35" s="15"/>
      <c r="G35" s="16" t="str">
        <f>IF(ISBLANK(E35), "", F35 * VLOOKUP(E35, Estoque_Cadastro!$B$2:$C$100, 2, FALSE))</f>
        <v/>
      </c>
    </row>
    <row r="36" spans="1:7" ht="24.95" customHeight="1" x14ac:dyDescent="0.3">
      <c r="A36" s="14"/>
      <c r="B36" s="15" t="str">
        <f t="shared" si="0"/>
        <v/>
      </c>
      <c r="C36" s="15"/>
      <c r="D36" s="15"/>
      <c r="E36" s="15"/>
      <c r="F36" s="15"/>
      <c r="G36" s="16" t="str">
        <f>IF(ISBLANK(E36), "", F36 * VLOOKUP(E36, Estoque_Cadastro!$B$2:$C$100, 2, FALSE))</f>
        <v/>
      </c>
    </row>
    <row r="37" spans="1:7" ht="24.95" customHeight="1" x14ac:dyDescent="0.3">
      <c r="A37" s="14"/>
      <c r="B37" s="15" t="str">
        <f t="shared" si="0"/>
        <v/>
      </c>
      <c r="C37" s="15"/>
      <c r="D37" s="15"/>
      <c r="E37" s="15"/>
      <c r="F37" s="15"/>
      <c r="G37" s="16" t="str">
        <f>IF(ISBLANK(E37), "", F37 * VLOOKUP(E37, Estoque_Cadastro!$B$2:$C$100, 2, FALSE))</f>
        <v/>
      </c>
    </row>
    <row r="38" spans="1:7" ht="24.95" customHeight="1" x14ac:dyDescent="0.3">
      <c r="A38" s="14"/>
      <c r="B38" s="15" t="str">
        <f t="shared" si="0"/>
        <v/>
      </c>
      <c r="C38" s="15"/>
      <c r="D38" s="15"/>
      <c r="E38" s="15"/>
      <c r="F38" s="15"/>
      <c r="G38" s="16" t="str">
        <f>IF(ISBLANK(E38), "", F38 * VLOOKUP(E38, Estoque_Cadastro!$B$2:$C$100, 2, FALSE))</f>
        <v/>
      </c>
    </row>
    <row r="39" spans="1:7" ht="24.95" customHeight="1" x14ac:dyDescent="0.3">
      <c r="A39" s="14"/>
      <c r="B39" s="15" t="str">
        <f t="shared" si="0"/>
        <v/>
      </c>
      <c r="C39" s="15"/>
      <c r="D39" s="15"/>
      <c r="E39" s="15"/>
      <c r="F39" s="15"/>
      <c r="G39" s="16" t="str">
        <f>IF(ISBLANK(E39), "", F39 * VLOOKUP(E39, Estoque_Cadastro!$B$2:$C$100, 2, FALSE))</f>
        <v/>
      </c>
    </row>
    <row r="40" spans="1:7" ht="24.95" customHeight="1" x14ac:dyDescent="0.3">
      <c r="A40" s="14"/>
      <c r="B40" s="15" t="str">
        <f t="shared" si="0"/>
        <v/>
      </c>
      <c r="C40" s="15"/>
      <c r="D40" s="15"/>
      <c r="E40" s="15"/>
      <c r="F40" s="15"/>
      <c r="G40" s="16" t="str">
        <f>IF(ISBLANK(E40), "", F40 * VLOOKUP(E40, Estoque_Cadastro!$B$2:$C$100, 2, FALSE))</f>
        <v/>
      </c>
    </row>
    <row r="41" spans="1:7" ht="24.95" customHeight="1" x14ac:dyDescent="0.3">
      <c r="A41" s="14"/>
      <c r="B41" s="15" t="str">
        <f t="shared" si="0"/>
        <v/>
      </c>
      <c r="C41" s="15"/>
      <c r="D41" s="15"/>
      <c r="E41" s="15"/>
      <c r="F41" s="15"/>
      <c r="G41" s="16" t="str">
        <f>IF(ISBLANK(E41), "", F41 * VLOOKUP(E41, Estoque_Cadastro!$B$2:$C$100, 2, FALSE))</f>
        <v/>
      </c>
    </row>
    <row r="42" spans="1:7" ht="24.95" customHeight="1" x14ac:dyDescent="0.3">
      <c r="A42" s="14"/>
      <c r="B42" s="15" t="str">
        <f t="shared" si="0"/>
        <v/>
      </c>
      <c r="C42" s="15"/>
      <c r="D42" s="15"/>
      <c r="E42" s="15"/>
      <c r="F42" s="15"/>
      <c r="G42" s="16" t="str">
        <f>IF(ISBLANK(E42), "", F42 * VLOOKUP(E42, Estoque_Cadastro!$B$2:$C$100, 2, FALSE))</f>
        <v/>
      </c>
    </row>
    <row r="43" spans="1:7" ht="24.95" customHeight="1" x14ac:dyDescent="0.3">
      <c r="A43" s="14"/>
      <c r="B43" s="15" t="str">
        <f t="shared" si="0"/>
        <v/>
      </c>
      <c r="C43" s="15"/>
      <c r="D43" s="15"/>
      <c r="E43" s="15"/>
      <c r="F43" s="15"/>
      <c r="G43" s="16" t="str">
        <f>IF(ISBLANK(E43), "", F43 * VLOOKUP(E43, Estoque_Cadastro!$B$2:$C$100, 2, FALSE))</f>
        <v/>
      </c>
    </row>
    <row r="44" spans="1:7" ht="24.95" customHeight="1" x14ac:dyDescent="0.3">
      <c r="A44" s="14"/>
      <c r="B44" s="15" t="str">
        <f t="shared" si="0"/>
        <v/>
      </c>
      <c r="C44" s="15"/>
      <c r="D44" s="15"/>
      <c r="E44" s="15"/>
      <c r="F44" s="15"/>
      <c r="G44" s="16" t="str">
        <f>IF(ISBLANK(E44), "", F44 * VLOOKUP(E44, Estoque_Cadastro!$B$2:$C$100, 2, FALSE))</f>
        <v/>
      </c>
    </row>
    <row r="45" spans="1:7" ht="24.95" customHeight="1" x14ac:dyDescent="0.3">
      <c r="A45" s="14"/>
      <c r="B45" s="15" t="str">
        <f t="shared" si="0"/>
        <v/>
      </c>
      <c r="C45" s="15"/>
      <c r="D45" s="15"/>
      <c r="E45" s="15"/>
      <c r="F45" s="15"/>
      <c r="G45" s="16" t="str">
        <f>IF(ISBLANK(E45), "", F45 * VLOOKUP(E45, Estoque_Cadastro!$B$2:$C$100, 2, FALSE))</f>
        <v/>
      </c>
    </row>
    <row r="46" spans="1:7" ht="24.95" customHeight="1" x14ac:dyDescent="0.3">
      <c r="A46" s="14"/>
      <c r="B46" s="15" t="str">
        <f t="shared" si="0"/>
        <v/>
      </c>
      <c r="C46" s="15"/>
      <c r="D46" s="15"/>
      <c r="E46" s="15"/>
      <c r="F46" s="15"/>
      <c r="G46" s="16" t="str">
        <f>IF(ISBLANK(E46), "", F46 * VLOOKUP(E46, Estoque_Cadastro!$B$2:$C$100, 2, FALSE))</f>
        <v/>
      </c>
    </row>
    <row r="47" spans="1:7" ht="24.95" customHeight="1" x14ac:dyDescent="0.3">
      <c r="A47" s="14"/>
      <c r="B47" s="15" t="str">
        <f t="shared" si="0"/>
        <v/>
      </c>
      <c r="C47" s="15"/>
      <c r="D47" s="15"/>
      <c r="E47" s="15"/>
      <c r="F47" s="15"/>
      <c r="G47" s="16" t="str">
        <f>IF(ISBLANK(E47), "", F47 * VLOOKUP(E47, Estoque_Cadastro!$B$2:$C$100, 2, FALSE))</f>
        <v/>
      </c>
    </row>
    <row r="48" spans="1:7" ht="24.95" customHeight="1" x14ac:dyDescent="0.3">
      <c r="A48" s="14"/>
      <c r="B48" s="15" t="str">
        <f t="shared" si="0"/>
        <v/>
      </c>
      <c r="C48" s="15"/>
      <c r="D48" s="15"/>
      <c r="E48" s="15"/>
      <c r="F48" s="15"/>
      <c r="G48" s="16" t="str">
        <f>IF(ISBLANK(E48), "", F48 * VLOOKUP(E48, Estoque_Cadastro!$B$2:$C$100, 2, FALSE))</f>
        <v/>
      </c>
    </row>
    <row r="49" spans="1:7" ht="24.95" customHeight="1" x14ac:dyDescent="0.3">
      <c r="A49" s="14"/>
      <c r="B49" s="15" t="str">
        <f t="shared" si="0"/>
        <v/>
      </c>
      <c r="C49" s="15"/>
      <c r="D49" s="15"/>
      <c r="E49" s="15"/>
      <c r="F49" s="15"/>
      <c r="G49" s="16" t="str">
        <f>IF(ISBLANK(E49), "", F49 * VLOOKUP(E49, Estoque_Cadastro!$B$2:$C$100, 2, FALSE))</f>
        <v/>
      </c>
    </row>
    <row r="50" spans="1:7" ht="24.95" customHeight="1" x14ac:dyDescent="0.3">
      <c r="A50" s="14"/>
      <c r="B50" s="15" t="str">
        <f t="shared" si="0"/>
        <v/>
      </c>
      <c r="C50" s="15"/>
      <c r="D50" s="15"/>
      <c r="E50" s="15"/>
      <c r="F50" s="15"/>
      <c r="G50" s="16" t="str">
        <f>IF(ISBLANK(E50), "", F50 * VLOOKUP(E50, Estoque_Cadastro!$B$2:$C$100, 2, FALSE))</f>
        <v/>
      </c>
    </row>
    <row r="51" spans="1:7" ht="24.95" customHeight="1" x14ac:dyDescent="0.3">
      <c r="A51" s="14"/>
      <c r="B51" s="15" t="str">
        <f t="shared" si="0"/>
        <v/>
      </c>
      <c r="C51" s="15"/>
      <c r="D51" s="15"/>
      <c r="E51" s="15"/>
      <c r="F51" s="15"/>
      <c r="G51" s="16" t="str">
        <f>IF(ISBLANK(E51), "", F51 * VLOOKUP(E51, Estoque_Cadastro!$B$2:$C$100, 2, FALSE))</f>
        <v/>
      </c>
    </row>
    <row r="52" spans="1:7" ht="24.95" customHeight="1" x14ac:dyDescent="0.3">
      <c r="A52" s="14"/>
      <c r="B52" s="15" t="str">
        <f t="shared" si="0"/>
        <v/>
      </c>
      <c r="C52" s="15"/>
      <c r="D52" s="15"/>
      <c r="E52" s="15"/>
      <c r="F52" s="15"/>
      <c r="G52" s="16" t="str">
        <f>IF(ISBLANK(E52), "", F52 * VLOOKUP(E52, Estoque_Cadastro!$B$2:$C$100, 2, FALSE))</f>
        <v/>
      </c>
    </row>
    <row r="53" spans="1:7" ht="24.95" customHeight="1" x14ac:dyDescent="0.3">
      <c r="A53" s="14"/>
      <c r="B53" s="15" t="str">
        <f t="shared" si="0"/>
        <v/>
      </c>
      <c r="C53" s="15"/>
      <c r="D53" s="15"/>
      <c r="E53" s="15"/>
      <c r="F53" s="15"/>
      <c r="G53" s="16" t="str">
        <f>IF(ISBLANK(E53), "", F53 * VLOOKUP(E53, Estoque_Cadastro!$B$2:$C$100, 2, FALSE))</f>
        <v/>
      </c>
    </row>
    <row r="54" spans="1:7" ht="24.95" customHeight="1" x14ac:dyDescent="0.3">
      <c r="A54" s="14"/>
      <c r="B54" s="15" t="str">
        <f t="shared" si="0"/>
        <v/>
      </c>
      <c r="C54" s="15"/>
      <c r="D54" s="15"/>
      <c r="E54" s="15"/>
      <c r="F54" s="15"/>
      <c r="G54" s="16" t="str">
        <f>IF(ISBLANK(E54), "", F54 * VLOOKUP(E54, Estoque_Cadastro!$B$2:$C$100, 2, FALSE))</f>
        <v/>
      </c>
    </row>
    <row r="55" spans="1:7" ht="24.95" customHeight="1" x14ac:dyDescent="0.3">
      <c r="A55" s="14"/>
      <c r="B55" s="15" t="str">
        <f t="shared" si="0"/>
        <v/>
      </c>
      <c r="C55" s="15"/>
      <c r="D55" s="15"/>
      <c r="E55" s="15"/>
      <c r="F55" s="15"/>
      <c r="G55" s="16" t="str">
        <f>IF(ISBLANK(E55), "", F55 * VLOOKUP(E55, Estoque_Cadastro!$B$2:$C$100, 2, FALSE))</f>
        <v/>
      </c>
    </row>
    <row r="56" spans="1:7" ht="24.95" customHeight="1" x14ac:dyDescent="0.3">
      <c r="A56" s="14"/>
      <c r="B56" s="15" t="str">
        <f t="shared" si="0"/>
        <v/>
      </c>
      <c r="C56" s="15"/>
      <c r="D56" s="15"/>
      <c r="E56" s="15"/>
      <c r="F56" s="15"/>
      <c r="G56" s="16" t="str">
        <f>IF(ISBLANK(E56), "", F56 * VLOOKUP(E56, Estoque_Cadastro!$B$2:$C$100, 2, FALSE))</f>
        <v/>
      </c>
    </row>
    <row r="57" spans="1:7" ht="24.95" customHeight="1" x14ac:dyDescent="0.3">
      <c r="A57" s="14"/>
      <c r="B57" s="15" t="str">
        <f t="shared" si="0"/>
        <v/>
      </c>
      <c r="C57" s="15"/>
      <c r="D57" s="15"/>
      <c r="E57" s="15"/>
      <c r="F57" s="15"/>
      <c r="G57" s="16" t="str">
        <f>IF(ISBLANK(E57), "", F57 * VLOOKUP(E57, Estoque_Cadastro!$B$2:$C$100, 2, FALSE))</f>
        <v/>
      </c>
    </row>
    <row r="58" spans="1:7" ht="24.95" customHeight="1" x14ac:dyDescent="0.3">
      <c r="A58" s="14"/>
      <c r="B58" s="15" t="str">
        <f t="shared" si="0"/>
        <v/>
      </c>
      <c r="C58" s="15"/>
      <c r="D58" s="15"/>
      <c r="E58" s="15"/>
      <c r="F58" s="15"/>
      <c r="G58" s="16" t="str">
        <f>IF(ISBLANK(E58), "", F58 * VLOOKUP(E58, Estoque_Cadastro!$B$2:$C$100, 2, FALSE))</f>
        <v/>
      </c>
    </row>
    <row r="59" spans="1:7" ht="24.95" customHeight="1" x14ac:dyDescent="0.3">
      <c r="A59" s="14"/>
      <c r="B59" s="15" t="str">
        <f t="shared" si="0"/>
        <v/>
      </c>
      <c r="C59" s="15"/>
      <c r="D59" s="15"/>
      <c r="E59" s="15"/>
      <c r="F59" s="15"/>
      <c r="G59" s="16" t="str">
        <f>IF(ISBLANK(E59), "", F59 * VLOOKUP(E59, Estoque_Cadastro!$B$2:$C$100, 2, FALSE))</f>
        <v/>
      </c>
    </row>
    <row r="60" spans="1:7" ht="24.95" customHeight="1" x14ac:dyDescent="0.3">
      <c r="A60" s="14"/>
      <c r="B60" s="15" t="str">
        <f t="shared" si="0"/>
        <v/>
      </c>
      <c r="C60" s="15"/>
      <c r="D60" s="15"/>
      <c r="E60" s="15"/>
      <c r="F60" s="15"/>
      <c r="G60" s="16" t="str">
        <f>IF(ISBLANK(E60), "", F60 * VLOOKUP(E60, Estoque_Cadastro!$B$2:$C$100, 2, FALSE))</f>
        <v/>
      </c>
    </row>
    <row r="61" spans="1:7" ht="24.95" customHeight="1" x14ac:dyDescent="0.3">
      <c r="A61" s="14"/>
      <c r="B61" s="15" t="str">
        <f t="shared" si="0"/>
        <v/>
      </c>
      <c r="C61" s="15"/>
      <c r="D61" s="15"/>
      <c r="E61" s="15"/>
      <c r="F61" s="15"/>
      <c r="G61" s="16" t="str">
        <f>IF(ISBLANK(E61), "", F61 * VLOOKUP(E61, Estoque_Cadastro!$B$2:$C$100, 2, FALSE))</f>
        <v/>
      </c>
    </row>
    <row r="62" spans="1:7" ht="24.95" customHeight="1" x14ac:dyDescent="0.3">
      <c r="A62" s="14"/>
      <c r="B62" s="15" t="str">
        <f t="shared" si="0"/>
        <v/>
      </c>
      <c r="C62" s="15"/>
      <c r="D62" s="15"/>
      <c r="E62" s="15"/>
      <c r="F62" s="15"/>
      <c r="G62" s="16" t="str">
        <f>IF(ISBLANK(E62), "", F62 * VLOOKUP(E62, Estoque_Cadastro!$B$2:$C$100, 2, FALSE))</f>
        <v/>
      </c>
    </row>
    <row r="63" spans="1:7" ht="24.95" customHeight="1" x14ac:dyDescent="0.3">
      <c r="A63" s="14"/>
      <c r="B63" s="15" t="str">
        <f t="shared" si="0"/>
        <v/>
      </c>
      <c r="C63" s="15"/>
      <c r="D63" s="15"/>
      <c r="E63" s="15"/>
      <c r="F63" s="15"/>
      <c r="G63" s="16" t="str">
        <f>IF(ISBLANK(E63), "", F63 * VLOOKUP(E63, Estoque_Cadastro!$B$2:$C$100, 2, FALSE))</f>
        <v/>
      </c>
    </row>
    <row r="64" spans="1:7" ht="24.95" customHeight="1" x14ac:dyDescent="0.3">
      <c r="A64" s="14"/>
      <c r="B64" s="15" t="str">
        <f t="shared" si="0"/>
        <v/>
      </c>
      <c r="C64" s="15"/>
      <c r="D64" s="15"/>
      <c r="E64" s="15"/>
      <c r="F64" s="15"/>
      <c r="G64" s="16" t="str">
        <f>IF(ISBLANK(E64), "", F64 * VLOOKUP(E64, Estoque_Cadastro!$B$2:$C$100, 2, FALSE))</f>
        <v/>
      </c>
    </row>
    <row r="65" spans="1:7" ht="24.95" customHeight="1" x14ac:dyDescent="0.3">
      <c r="A65" s="14"/>
      <c r="B65" s="15" t="str">
        <f t="shared" si="0"/>
        <v/>
      </c>
      <c r="C65" s="15"/>
      <c r="D65" s="15"/>
      <c r="E65" s="15"/>
      <c r="F65" s="15"/>
      <c r="G65" s="16" t="str">
        <f>IF(ISBLANK(E65), "", F65 * VLOOKUP(E65, Estoque_Cadastro!$B$2:$C$100, 2, FALSE))</f>
        <v/>
      </c>
    </row>
    <row r="66" spans="1:7" ht="24.95" customHeight="1" x14ac:dyDescent="0.3">
      <c r="A66" s="14"/>
      <c r="B66" s="15" t="str">
        <f t="shared" ref="B66:B129" si="1">IF(A66="","", MONTH(A66))</f>
        <v/>
      </c>
      <c r="C66" s="15"/>
      <c r="D66" s="15"/>
      <c r="E66" s="15"/>
      <c r="F66" s="15"/>
      <c r="G66" s="16" t="str">
        <f>IF(ISBLANK(E66), "", F66 * VLOOKUP(E66, Estoque_Cadastro!$B$2:$C$100, 2, FALSE))</f>
        <v/>
      </c>
    </row>
    <row r="67" spans="1:7" ht="24.95" customHeight="1" x14ac:dyDescent="0.3">
      <c r="A67" s="14"/>
      <c r="B67" s="15" t="str">
        <f t="shared" si="1"/>
        <v/>
      </c>
      <c r="C67" s="15"/>
      <c r="D67" s="15"/>
      <c r="E67" s="15"/>
      <c r="F67" s="15"/>
      <c r="G67" s="16" t="str">
        <f>IF(ISBLANK(E67), "", F67 * VLOOKUP(E67, Estoque_Cadastro!$B$2:$C$100, 2, FALSE))</f>
        <v/>
      </c>
    </row>
    <row r="68" spans="1:7" ht="24.95" customHeight="1" x14ac:dyDescent="0.3">
      <c r="A68" s="14"/>
      <c r="B68" s="15" t="str">
        <f t="shared" si="1"/>
        <v/>
      </c>
      <c r="C68" s="15"/>
      <c r="D68" s="15"/>
      <c r="E68" s="15"/>
      <c r="F68" s="15"/>
      <c r="G68" s="16" t="str">
        <f>IF(ISBLANK(E68), "", F68 * VLOOKUP(E68, Estoque_Cadastro!$B$2:$C$100, 2, FALSE))</f>
        <v/>
      </c>
    </row>
    <row r="69" spans="1:7" ht="24.95" customHeight="1" x14ac:dyDescent="0.3">
      <c r="A69" s="14"/>
      <c r="B69" s="15" t="str">
        <f t="shared" si="1"/>
        <v/>
      </c>
      <c r="C69" s="15"/>
      <c r="D69" s="15"/>
      <c r="E69" s="15"/>
      <c r="F69" s="15"/>
      <c r="G69" s="16" t="str">
        <f>IF(ISBLANK(E69), "", F69 * VLOOKUP(E69, Estoque_Cadastro!$B$2:$C$100, 2, FALSE))</f>
        <v/>
      </c>
    </row>
    <row r="70" spans="1:7" ht="24.95" customHeight="1" x14ac:dyDescent="0.3">
      <c r="A70" s="14"/>
      <c r="B70" s="15" t="str">
        <f t="shared" si="1"/>
        <v/>
      </c>
      <c r="C70" s="15"/>
      <c r="D70" s="15"/>
      <c r="E70" s="15"/>
      <c r="F70" s="15"/>
      <c r="G70" s="16" t="str">
        <f>IF(ISBLANK(E70), "", F70 * VLOOKUP(E70, Estoque_Cadastro!$B$2:$C$100, 2, FALSE))</f>
        <v/>
      </c>
    </row>
    <row r="71" spans="1:7" ht="24.95" customHeight="1" x14ac:dyDescent="0.3">
      <c r="A71" s="14"/>
      <c r="B71" s="15" t="str">
        <f t="shared" si="1"/>
        <v/>
      </c>
      <c r="C71" s="15"/>
      <c r="D71" s="15"/>
      <c r="E71" s="15"/>
      <c r="F71" s="15"/>
      <c r="G71" s="16" t="str">
        <f>IF(ISBLANK(E71), "", F71 * VLOOKUP(E71, Estoque_Cadastro!$B$2:$C$100, 2, FALSE))</f>
        <v/>
      </c>
    </row>
    <row r="72" spans="1:7" ht="24.95" customHeight="1" x14ac:dyDescent="0.3">
      <c r="A72" s="14"/>
      <c r="B72" s="15" t="str">
        <f t="shared" si="1"/>
        <v/>
      </c>
      <c r="C72" s="15"/>
      <c r="D72" s="15"/>
      <c r="E72" s="15"/>
      <c r="F72" s="15"/>
      <c r="G72" s="16" t="str">
        <f>IF(ISBLANK(E72), "", F72 * VLOOKUP(E72, Estoque_Cadastro!$B$2:$C$100, 2, FALSE))</f>
        <v/>
      </c>
    </row>
    <row r="73" spans="1:7" ht="24.95" customHeight="1" x14ac:dyDescent="0.3">
      <c r="A73" s="14"/>
      <c r="B73" s="15" t="str">
        <f t="shared" si="1"/>
        <v/>
      </c>
      <c r="C73" s="15"/>
      <c r="D73" s="15"/>
      <c r="E73" s="15"/>
      <c r="F73" s="15"/>
      <c r="G73" s="16" t="str">
        <f>IF(ISBLANK(E73), "", F73 * VLOOKUP(E73, Estoque_Cadastro!$B$2:$C$100, 2, FALSE))</f>
        <v/>
      </c>
    </row>
    <row r="74" spans="1:7" ht="24.95" customHeight="1" x14ac:dyDescent="0.3">
      <c r="A74" s="14"/>
      <c r="B74" s="15" t="str">
        <f t="shared" si="1"/>
        <v/>
      </c>
      <c r="C74" s="15"/>
      <c r="D74" s="15"/>
      <c r="E74" s="15"/>
      <c r="F74" s="15"/>
      <c r="G74" s="16" t="str">
        <f>IF(ISBLANK(E74), "", F74 * VLOOKUP(E74, Estoque_Cadastro!$B$2:$C$100, 2, FALSE))</f>
        <v/>
      </c>
    </row>
    <row r="75" spans="1:7" ht="24.95" customHeight="1" x14ac:dyDescent="0.3">
      <c r="A75" s="14"/>
      <c r="B75" s="15" t="str">
        <f t="shared" si="1"/>
        <v/>
      </c>
      <c r="C75" s="15"/>
      <c r="D75" s="15"/>
      <c r="E75" s="15"/>
      <c r="F75" s="15"/>
      <c r="G75" s="16" t="str">
        <f>IF(ISBLANK(E75), "", F75 * VLOOKUP(E75, Estoque_Cadastro!$B$2:$C$100, 2, FALSE))</f>
        <v/>
      </c>
    </row>
    <row r="76" spans="1:7" ht="24.95" customHeight="1" x14ac:dyDescent="0.3">
      <c r="A76" s="14"/>
      <c r="B76" s="15" t="str">
        <f t="shared" si="1"/>
        <v/>
      </c>
      <c r="C76" s="15"/>
      <c r="D76" s="15"/>
      <c r="E76" s="15"/>
      <c r="F76" s="15"/>
      <c r="G76" s="16" t="str">
        <f>IF(ISBLANK(E76), "", F76 * VLOOKUP(E76, Estoque_Cadastro!$B$2:$C$100, 2, FALSE))</f>
        <v/>
      </c>
    </row>
    <row r="77" spans="1:7" ht="24.95" customHeight="1" x14ac:dyDescent="0.3">
      <c r="A77" s="14"/>
      <c r="B77" s="15" t="str">
        <f t="shared" si="1"/>
        <v/>
      </c>
      <c r="C77" s="15"/>
      <c r="D77" s="15"/>
      <c r="E77" s="15"/>
      <c r="F77" s="15"/>
      <c r="G77" s="16" t="str">
        <f>IF(ISBLANK(E77), "", F77 * VLOOKUP(E77, Estoque_Cadastro!$B$2:$C$100, 2, FALSE))</f>
        <v/>
      </c>
    </row>
    <row r="78" spans="1:7" ht="24.95" customHeight="1" x14ac:dyDescent="0.3">
      <c r="A78" s="14"/>
      <c r="B78" s="15" t="str">
        <f t="shared" si="1"/>
        <v/>
      </c>
      <c r="C78" s="15"/>
      <c r="D78" s="15"/>
      <c r="E78" s="15"/>
      <c r="F78" s="15"/>
      <c r="G78" s="16" t="str">
        <f>IF(ISBLANK(E78), "", F78 * VLOOKUP(E78, Estoque_Cadastro!$B$2:$C$100, 2, FALSE))</f>
        <v/>
      </c>
    </row>
    <row r="79" spans="1:7" ht="24.95" customHeight="1" x14ac:dyDescent="0.3">
      <c r="A79" s="14"/>
      <c r="B79" s="15" t="str">
        <f t="shared" si="1"/>
        <v/>
      </c>
      <c r="C79" s="15"/>
      <c r="D79" s="15"/>
      <c r="E79" s="15"/>
      <c r="F79" s="15"/>
      <c r="G79" s="16" t="str">
        <f>IF(ISBLANK(E79), "", F79 * VLOOKUP(E79, Estoque_Cadastro!$B$2:$C$100, 2, FALSE))</f>
        <v/>
      </c>
    </row>
    <row r="80" spans="1:7" ht="24.95" customHeight="1" x14ac:dyDescent="0.3">
      <c r="A80" s="14"/>
      <c r="B80" s="15" t="str">
        <f t="shared" si="1"/>
        <v/>
      </c>
      <c r="C80" s="15"/>
      <c r="D80" s="15"/>
      <c r="E80" s="15"/>
      <c r="F80" s="15"/>
      <c r="G80" s="16" t="str">
        <f>IF(ISBLANK(E80), "", F80 * VLOOKUP(E80, Estoque_Cadastro!$B$2:$C$100, 2, FALSE))</f>
        <v/>
      </c>
    </row>
    <row r="81" spans="1:7" ht="24.95" customHeight="1" x14ac:dyDescent="0.3">
      <c r="A81" s="14"/>
      <c r="B81" s="15" t="str">
        <f t="shared" si="1"/>
        <v/>
      </c>
      <c r="C81" s="15"/>
      <c r="D81" s="15"/>
      <c r="E81" s="15"/>
      <c r="F81" s="15"/>
      <c r="G81" s="16" t="str">
        <f>IF(ISBLANK(E81), "", F81 * VLOOKUP(E81, Estoque_Cadastro!$B$2:$C$100, 2, FALSE))</f>
        <v/>
      </c>
    </row>
    <row r="82" spans="1:7" ht="24.95" customHeight="1" x14ac:dyDescent="0.3">
      <c r="A82" s="14"/>
      <c r="B82" s="15" t="str">
        <f t="shared" si="1"/>
        <v/>
      </c>
      <c r="C82" s="15"/>
      <c r="D82" s="15"/>
      <c r="E82" s="15"/>
      <c r="F82" s="15"/>
      <c r="G82" s="16" t="str">
        <f>IF(ISBLANK(E82), "", F82 * VLOOKUP(E82, Estoque_Cadastro!$B$2:$C$100, 2, FALSE))</f>
        <v/>
      </c>
    </row>
    <row r="83" spans="1:7" ht="24.95" customHeight="1" x14ac:dyDescent="0.3">
      <c r="A83" s="14"/>
      <c r="B83" s="15" t="str">
        <f t="shared" si="1"/>
        <v/>
      </c>
      <c r="C83" s="15"/>
      <c r="D83" s="15"/>
      <c r="E83" s="15"/>
      <c r="F83" s="15"/>
      <c r="G83" s="16" t="str">
        <f>IF(ISBLANK(E83), "", F83 * VLOOKUP(E83, Estoque_Cadastro!$B$2:$C$100, 2, FALSE))</f>
        <v/>
      </c>
    </row>
    <row r="84" spans="1:7" ht="24.95" customHeight="1" x14ac:dyDescent="0.3">
      <c r="A84" s="14"/>
      <c r="B84" s="15" t="str">
        <f t="shared" si="1"/>
        <v/>
      </c>
      <c r="C84" s="15"/>
      <c r="D84" s="15"/>
      <c r="E84" s="15"/>
      <c r="F84" s="15"/>
      <c r="G84" s="16" t="str">
        <f>IF(ISBLANK(E84), "", F84 * VLOOKUP(E84, Estoque_Cadastro!$B$2:$C$100, 2, FALSE))</f>
        <v/>
      </c>
    </row>
    <row r="85" spans="1:7" ht="24.95" customHeight="1" x14ac:dyDescent="0.3">
      <c r="A85" s="14"/>
      <c r="B85" s="15" t="str">
        <f t="shared" si="1"/>
        <v/>
      </c>
      <c r="C85" s="15"/>
      <c r="D85" s="15"/>
      <c r="E85" s="15"/>
      <c r="F85" s="15"/>
      <c r="G85" s="16" t="str">
        <f>IF(ISBLANK(E85), "", F85 * VLOOKUP(E85, Estoque_Cadastro!$B$2:$C$100, 2, FALSE))</f>
        <v/>
      </c>
    </row>
    <row r="86" spans="1:7" ht="24.95" customHeight="1" x14ac:dyDescent="0.3">
      <c r="A86" s="14"/>
      <c r="B86" s="15" t="str">
        <f t="shared" si="1"/>
        <v/>
      </c>
      <c r="C86" s="15"/>
      <c r="D86" s="15"/>
      <c r="E86" s="15"/>
      <c r="F86" s="15"/>
      <c r="G86" s="16" t="str">
        <f>IF(ISBLANK(E86), "", F86 * VLOOKUP(E86, Estoque_Cadastro!$B$2:$C$100, 2, FALSE))</f>
        <v/>
      </c>
    </row>
    <row r="87" spans="1:7" ht="24.95" customHeight="1" x14ac:dyDescent="0.3">
      <c r="A87" s="14"/>
      <c r="B87" s="15" t="str">
        <f t="shared" si="1"/>
        <v/>
      </c>
      <c r="C87" s="15"/>
      <c r="D87" s="15"/>
      <c r="E87" s="15"/>
      <c r="F87" s="15"/>
      <c r="G87" s="16" t="str">
        <f>IF(ISBLANK(E87), "", F87 * VLOOKUP(E87, Estoque_Cadastro!$B$2:$C$100, 2, FALSE))</f>
        <v/>
      </c>
    </row>
    <row r="88" spans="1:7" ht="24.95" customHeight="1" x14ac:dyDescent="0.3">
      <c r="A88" s="14"/>
      <c r="B88" s="15" t="str">
        <f t="shared" si="1"/>
        <v/>
      </c>
      <c r="C88" s="15"/>
      <c r="D88" s="15"/>
      <c r="E88" s="15"/>
      <c r="F88" s="15"/>
      <c r="G88" s="16" t="str">
        <f>IF(ISBLANK(E88), "", F88 * VLOOKUP(E88, Estoque_Cadastro!$B$2:$C$100, 2, FALSE))</f>
        <v/>
      </c>
    </row>
    <row r="89" spans="1:7" ht="24.95" customHeight="1" x14ac:dyDescent="0.3">
      <c r="A89" s="14"/>
      <c r="B89" s="15" t="str">
        <f t="shared" si="1"/>
        <v/>
      </c>
      <c r="C89" s="15"/>
      <c r="D89" s="15"/>
      <c r="E89" s="15"/>
      <c r="F89" s="15"/>
      <c r="G89" s="16" t="str">
        <f>IF(ISBLANK(E89), "", F89 * VLOOKUP(E89, Estoque_Cadastro!$B$2:$C$100, 2, FALSE))</f>
        <v/>
      </c>
    </row>
    <row r="90" spans="1:7" ht="24.95" customHeight="1" x14ac:dyDescent="0.3">
      <c r="A90" s="14"/>
      <c r="B90" s="15" t="str">
        <f t="shared" si="1"/>
        <v/>
      </c>
      <c r="C90" s="15"/>
      <c r="D90" s="15"/>
      <c r="E90" s="15"/>
      <c r="F90" s="15"/>
      <c r="G90" s="16" t="str">
        <f>IF(ISBLANK(E90), "", F90 * VLOOKUP(E90, Estoque_Cadastro!$B$2:$C$100, 2, FALSE))</f>
        <v/>
      </c>
    </row>
    <row r="91" spans="1:7" ht="24.95" customHeight="1" x14ac:dyDescent="0.3">
      <c r="A91" s="14"/>
      <c r="B91" s="15" t="str">
        <f t="shared" si="1"/>
        <v/>
      </c>
      <c r="C91" s="15"/>
      <c r="D91" s="15"/>
      <c r="E91" s="15"/>
      <c r="F91" s="15"/>
      <c r="G91" s="16" t="str">
        <f>IF(ISBLANK(E91), "", F91 * VLOOKUP(E91, Estoque_Cadastro!$B$2:$C$100, 2, FALSE))</f>
        <v/>
      </c>
    </row>
    <row r="92" spans="1:7" ht="24.95" customHeight="1" x14ac:dyDescent="0.3">
      <c r="A92" s="14"/>
      <c r="B92" s="15" t="str">
        <f t="shared" si="1"/>
        <v/>
      </c>
      <c r="C92" s="15"/>
      <c r="D92" s="15"/>
      <c r="E92" s="15"/>
      <c r="F92" s="15"/>
      <c r="G92" s="16" t="str">
        <f>IF(ISBLANK(E92), "", F92 * VLOOKUP(E92, Estoque_Cadastro!$B$2:$C$100, 2, FALSE))</f>
        <v/>
      </c>
    </row>
    <row r="93" spans="1:7" ht="24.95" customHeight="1" x14ac:dyDescent="0.3">
      <c r="A93" s="14"/>
      <c r="B93" s="15" t="str">
        <f t="shared" si="1"/>
        <v/>
      </c>
      <c r="C93" s="15"/>
      <c r="D93" s="15"/>
      <c r="E93" s="15"/>
      <c r="F93" s="15"/>
      <c r="G93" s="16" t="str">
        <f>IF(ISBLANK(E93), "", F93 * VLOOKUP(E93, Estoque_Cadastro!$B$2:$C$100, 2, FALSE))</f>
        <v/>
      </c>
    </row>
    <row r="94" spans="1:7" ht="24.95" customHeight="1" x14ac:dyDescent="0.3">
      <c r="A94" s="14"/>
      <c r="B94" s="15" t="str">
        <f t="shared" si="1"/>
        <v/>
      </c>
      <c r="C94" s="15"/>
      <c r="D94" s="15"/>
      <c r="E94" s="15"/>
      <c r="F94" s="15"/>
      <c r="G94" s="16" t="str">
        <f>IF(ISBLANK(E94), "", F94 * VLOOKUP(E94, Estoque_Cadastro!$B$2:$C$100, 2, FALSE))</f>
        <v/>
      </c>
    </row>
    <row r="95" spans="1:7" ht="24.95" customHeight="1" x14ac:dyDescent="0.3">
      <c r="A95" s="14"/>
      <c r="B95" s="15" t="str">
        <f t="shared" si="1"/>
        <v/>
      </c>
      <c r="C95" s="15"/>
      <c r="D95" s="15"/>
      <c r="E95" s="15"/>
      <c r="F95" s="15"/>
      <c r="G95" s="16" t="str">
        <f>IF(ISBLANK(E95), "", F95 * VLOOKUP(E95, Estoque_Cadastro!$B$2:$C$100, 2, FALSE))</f>
        <v/>
      </c>
    </row>
    <row r="96" spans="1:7" ht="24.95" customHeight="1" x14ac:dyDescent="0.3">
      <c r="A96" s="14"/>
      <c r="B96" s="15" t="str">
        <f t="shared" si="1"/>
        <v/>
      </c>
      <c r="C96" s="15"/>
      <c r="D96" s="15"/>
      <c r="E96" s="15"/>
      <c r="F96" s="15"/>
      <c r="G96" s="16" t="str">
        <f>IF(ISBLANK(E96), "", F96 * VLOOKUP(E96, Estoque_Cadastro!$B$2:$C$100, 2, FALSE))</f>
        <v/>
      </c>
    </row>
    <row r="97" spans="1:7" ht="24.95" customHeight="1" x14ac:dyDescent="0.3">
      <c r="A97" s="14"/>
      <c r="B97" s="15" t="str">
        <f t="shared" si="1"/>
        <v/>
      </c>
      <c r="C97" s="15"/>
      <c r="D97" s="15"/>
      <c r="E97" s="15"/>
      <c r="F97" s="15"/>
      <c r="G97" s="16" t="str">
        <f>IF(ISBLANK(E97), "", F97 * VLOOKUP(E97, Estoque_Cadastro!$B$2:$C$100, 2, FALSE))</f>
        <v/>
      </c>
    </row>
    <row r="98" spans="1:7" ht="24.95" customHeight="1" x14ac:dyDescent="0.3">
      <c r="A98" s="14"/>
      <c r="B98" s="15" t="str">
        <f t="shared" si="1"/>
        <v/>
      </c>
      <c r="C98" s="15"/>
      <c r="D98" s="15"/>
      <c r="E98" s="15"/>
      <c r="F98" s="15"/>
      <c r="G98" s="16" t="str">
        <f>IF(ISBLANK(E98), "", F98 * VLOOKUP(E98, Estoque_Cadastro!$B$2:$C$100, 2, FALSE))</f>
        <v/>
      </c>
    </row>
    <row r="99" spans="1:7" ht="24.95" customHeight="1" x14ac:dyDescent="0.3">
      <c r="A99" s="14"/>
      <c r="B99" s="15" t="str">
        <f t="shared" si="1"/>
        <v/>
      </c>
      <c r="C99" s="15"/>
      <c r="D99" s="15"/>
      <c r="E99" s="15"/>
      <c r="F99" s="15"/>
      <c r="G99" s="16" t="str">
        <f>IF(ISBLANK(E99), "", F99 * VLOOKUP(E99, Estoque_Cadastro!$B$2:$C$100, 2, FALSE))</f>
        <v/>
      </c>
    </row>
    <row r="100" spans="1:7" ht="24.95" customHeight="1" x14ac:dyDescent="0.3">
      <c r="A100" s="14"/>
      <c r="B100" s="15" t="str">
        <f t="shared" si="1"/>
        <v/>
      </c>
      <c r="C100" s="15"/>
      <c r="D100" s="15"/>
      <c r="E100" s="15"/>
      <c r="F100" s="15"/>
      <c r="G100" s="16" t="str">
        <f>IF(ISBLANK(E100), "", F100 * VLOOKUP(E100, Estoque_Cadastro!$B$2:$C$100, 2, FALSE))</f>
        <v/>
      </c>
    </row>
    <row r="101" spans="1:7" ht="24.95" customHeight="1" x14ac:dyDescent="0.3">
      <c r="A101" s="14"/>
      <c r="B101" s="15" t="str">
        <f t="shared" si="1"/>
        <v/>
      </c>
      <c r="C101" s="15"/>
      <c r="D101" s="15"/>
      <c r="E101" s="15"/>
      <c r="F101" s="15"/>
      <c r="G101" s="16" t="str">
        <f>IF(ISBLANK(E101), "", F101 * VLOOKUP(E101, Estoque_Cadastro!$B$2:$C$100, 2, FALSE))</f>
        <v/>
      </c>
    </row>
    <row r="102" spans="1:7" ht="24.95" customHeight="1" x14ac:dyDescent="0.3">
      <c r="A102" s="14"/>
      <c r="B102" s="15" t="str">
        <f t="shared" si="1"/>
        <v/>
      </c>
      <c r="C102" s="15"/>
      <c r="D102" s="15"/>
      <c r="E102" s="15"/>
      <c r="F102" s="15"/>
      <c r="G102" s="16" t="str">
        <f>IF(ISBLANK(E102), "", F102 * VLOOKUP(E102, Estoque_Cadastro!$B$2:$C$100, 2, FALSE))</f>
        <v/>
      </c>
    </row>
    <row r="103" spans="1:7" ht="24.95" customHeight="1" x14ac:dyDescent="0.3">
      <c r="A103" s="14"/>
      <c r="B103" s="15" t="str">
        <f t="shared" si="1"/>
        <v/>
      </c>
      <c r="C103" s="15"/>
      <c r="D103" s="15"/>
      <c r="E103" s="15"/>
      <c r="F103" s="15"/>
      <c r="G103" s="16" t="str">
        <f>IF(ISBLANK(E103), "", F103 * VLOOKUP(E103, Estoque_Cadastro!$B$2:$C$100, 2, FALSE))</f>
        <v/>
      </c>
    </row>
    <row r="104" spans="1:7" ht="24.95" customHeight="1" x14ac:dyDescent="0.3">
      <c r="A104" s="14"/>
      <c r="B104" s="15" t="str">
        <f t="shared" si="1"/>
        <v/>
      </c>
      <c r="C104" s="15"/>
      <c r="D104" s="15"/>
      <c r="E104" s="15"/>
      <c r="F104" s="15"/>
      <c r="G104" s="16" t="str">
        <f>IF(ISBLANK(E104), "", F104 * VLOOKUP(E104, Estoque_Cadastro!$B$2:$C$100, 2, FALSE))</f>
        <v/>
      </c>
    </row>
    <row r="105" spans="1:7" ht="24.95" customHeight="1" x14ac:dyDescent="0.3">
      <c r="A105" s="14"/>
      <c r="B105" s="15" t="str">
        <f t="shared" si="1"/>
        <v/>
      </c>
      <c r="C105" s="15"/>
      <c r="D105" s="15"/>
      <c r="E105" s="15"/>
      <c r="F105" s="15"/>
      <c r="G105" s="16" t="str">
        <f>IF(ISBLANK(E105), "", F105 * VLOOKUP(E105, Estoque_Cadastro!$B$2:$C$100, 2, FALSE))</f>
        <v/>
      </c>
    </row>
    <row r="106" spans="1:7" ht="24.95" customHeight="1" x14ac:dyDescent="0.3">
      <c r="A106" s="14"/>
      <c r="B106" s="15" t="str">
        <f t="shared" si="1"/>
        <v/>
      </c>
      <c r="C106" s="15"/>
      <c r="D106" s="15"/>
      <c r="E106" s="15"/>
      <c r="F106" s="15"/>
      <c r="G106" s="16" t="str">
        <f>IF(ISBLANK(E106), "", F106 * VLOOKUP(E106, Estoque_Cadastro!$B$2:$C$100, 2, FALSE))</f>
        <v/>
      </c>
    </row>
    <row r="107" spans="1:7" ht="24.95" customHeight="1" x14ac:dyDescent="0.3">
      <c r="A107" s="14"/>
      <c r="B107" s="15" t="str">
        <f t="shared" si="1"/>
        <v/>
      </c>
      <c r="C107" s="15"/>
      <c r="D107" s="15"/>
      <c r="E107" s="15"/>
      <c r="F107" s="15"/>
      <c r="G107" s="16" t="str">
        <f>IF(ISBLANK(E107), "", F107 * VLOOKUP(E107, Estoque_Cadastro!$B$2:$C$100, 2, FALSE))</f>
        <v/>
      </c>
    </row>
    <row r="108" spans="1:7" ht="24.95" customHeight="1" x14ac:dyDescent="0.3">
      <c r="A108" s="14"/>
      <c r="B108" s="15" t="str">
        <f t="shared" si="1"/>
        <v/>
      </c>
      <c r="C108" s="15"/>
      <c r="D108" s="15"/>
      <c r="E108" s="15"/>
      <c r="F108" s="15"/>
      <c r="G108" s="16" t="str">
        <f>IF(ISBLANK(E108), "", F108 * VLOOKUP(E108, Estoque_Cadastro!$B$2:$C$100, 2, FALSE))</f>
        <v/>
      </c>
    </row>
    <row r="109" spans="1:7" ht="24.95" customHeight="1" x14ac:dyDescent="0.3">
      <c r="A109" s="14"/>
      <c r="B109" s="15" t="str">
        <f t="shared" si="1"/>
        <v/>
      </c>
      <c r="C109" s="15"/>
      <c r="D109" s="15"/>
      <c r="E109" s="15"/>
      <c r="F109" s="15"/>
      <c r="G109" s="16" t="str">
        <f>IF(ISBLANK(E109), "", F109 * VLOOKUP(E109, Estoque_Cadastro!$B$2:$C$100, 2, FALSE))</f>
        <v/>
      </c>
    </row>
    <row r="110" spans="1:7" ht="24.95" customHeight="1" x14ac:dyDescent="0.3">
      <c r="A110" s="14"/>
      <c r="B110" s="15" t="str">
        <f t="shared" si="1"/>
        <v/>
      </c>
      <c r="C110" s="15"/>
      <c r="D110" s="15"/>
      <c r="E110" s="15"/>
      <c r="F110" s="15"/>
      <c r="G110" s="16" t="str">
        <f>IF(ISBLANK(E110), "", F110 * VLOOKUP(E110, Estoque_Cadastro!$B$2:$C$100, 2, FALSE))</f>
        <v/>
      </c>
    </row>
    <row r="111" spans="1:7" ht="24.95" customHeight="1" x14ac:dyDescent="0.3">
      <c r="A111" s="14"/>
      <c r="B111" s="15" t="str">
        <f t="shared" si="1"/>
        <v/>
      </c>
      <c r="C111" s="15"/>
      <c r="D111" s="15"/>
      <c r="E111" s="15"/>
      <c r="F111" s="15"/>
      <c r="G111" s="16" t="str">
        <f>IF(ISBLANK(E111), "", F111 * VLOOKUP(E111, Estoque_Cadastro!$B$2:$C$100, 2, FALSE))</f>
        <v/>
      </c>
    </row>
    <row r="112" spans="1:7" ht="24.95" customHeight="1" x14ac:dyDescent="0.3">
      <c r="A112" s="14"/>
      <c r="B112" s="15" t="str">
        <f t="shared" si="1"/>
        <v/>
      </c>
      <c r="C112" s="15"/>
      <c r="D112" s="15"/>
      <c r="E112" s="15"/>
      <c r="F112" s="15"/>
      <c r="G112" s="16" t="str">
        <f>IF(ISBLANK(E112), "", F112 * VLOOKUP(E112, Estoque_Cadastro!$B$2:$C$100, 2, FALSE))</f>
        <v/>
      </c>
    </row>
    <row r="113" spans="1:7" ht="24.95" customHeight="1" x14ac:dyDescent="0.3">
      <c r="A113" s="14"/>
      <c r="B113" s="15" t="str">
        <f t="shared" si="1"/>
        <v/>
      </c>
      <c r="C113" s="15"/>
      <c r="D113" s="15"/>
      <c r="E113" s="15"/>
      <c r="F113" s="15"/>
      <c r="G113" s="16" t="str">
        <f>IF(ISBLANK(E113), "", F113 * VLOOKUP(E113, Estoque_Cadastro!$B$2:$C$100, 2, FALSE))</f>
        <v/>
      </c>
    </row>
    <row r="114" spans="1:7" ht="24.95" customHeight="1" x14ac:dyDescent="0.3">
      <c r="A114" s="14"/>
      <c r="B114" s="15" t="str">
        <f t="shared" si="1"/>
        <v/>
      </c>
      <c r="C114" s="15"/>
      <c r="D114" s="15"/>
      <c r="E114" s="15"/>
      <c r="F114" s="15"/>
      <c r="G114" s="16" t="str">
        <f>IF(ISBLANK(E114), "", F114 * VLOOKUP(E114, Estoque_Cadastro!$B$2:$C$100, 2, FALSE))</f>
        <v/>
      </c>
    </row>
    <row r="115" spans="1:7" ht="24.95" customHeight="1" x14ac:dyDescent="0.3">
      <c r="A115" s="14"/>
      <c r="B115" s="15" t="str">
        <f t="shared" si="1"/>
        <v/>
      </c>
      <c r="C115" s="15"/>
      <c r="D115" s="15"/>
      <c r="E115" s="15"/>
      <c r="F115" s="15"/>
      <c r="G115" s="16" t="str">
        <f>IF(ISBLANK(E115), "", F115 * VLOOKUP(E115, Estoque_Cadastro!$B$2:$C$100, 2, FALSE))</f>
        <v/>
      </c>
    </row>
    <row r="116" spans="1:7" ht="24.95" customHeight="1" x14ac:dyDescent="0.3">
      <c r="A116" s="14"/>
      <c r="B116" s="15" t="str">
        <f t="shared" si="1"/>
        <v/>
      </c>
      <c r="C116" s="15"/>
      <c r="D116" s="15"/>
      <c r="E116" s="15"/>
      <c r="F116" s="15"/>
      <c r="G116" s="16" t="str">
        <f>IF(ISBLANK(E116), "", F116 * VLOOKUP(E116, Estoque_Cadastro!$B$2:$C$100, 2, FALSE))</f>
        <v/>
      </c>
    </row>
    <row r="117" spans="1:7" ht="24.95" customHeight="1" x14ac:dyDescent="0.3">
      <c r="A117" s="14"/>
      <c r="B117" s="15" t="str">
        <f t="shared" si="1"/>
        <v/>
      </c>
      <c r="C117" s="15"/>
      <c r="D117" s="15"/>
      <c r="E117" s="15"/>
      <c r="F117" s="15"/>
      <c r="G117" s="16" t="str">
        <f>IF(ISBLANK(E117), "", F117 * VLOOKUP(E117, Estoque_Cadastro!$B$2:$C$100, 2, FALSE))</f>
        <v/>
      </c>
    </row>
    <row r="118" spans="1:7" ht="24.95" customHeight="1" x14ac:dyDescent="0.3">
      <c r="A118" s="14"/>
      <c r="B118" s="15" t="str">
        <f t="shared" si="1"/>
        <v/>
      </c>
      <c r="C118" s="15"/>
      <c r="D118" s="15"/>
      <c r="E118" s="15"/>
      <c r="F118" s="15"/>
      <c r="G118" s="16" t="str">
        <f>IF(ISBLANK(E118), "", F118 * VLOOKUP(E118, Estoque_Cadastro!$B$2:$C$100, 2, FALSE))</f>
        <v/>
      </c>
    </row>
    <row r="119" spans="1:7" ht="24.95" customHeight="1" x14ac:dyDescent="0.3">
      <c r="A119" s="14"/>
      <c r="B119" s="15" t="str">
        <f t="shared" si="1"/>
        <v/>
      </c>
      <c r="C119" s="15"/>
      <c r="D119" s="15"/>
      <c r="E119" s="15"/>
      <c r="F119" s="15"/>
      <c r="G119" s="16" t="str">
        <f>IF(ISBLANK(E119), "", F119 * VLOOKUP(E119, Estoque_Cadastro!$B$2:$C$100, 2, FALSE))</f>
        <v/>
      </c>
    </row>
    <row r="120" spans="1:7" ht="24.95" customHeight="1" x14ac:dyDescent="0.3">
      <c r="A120" s="14"/>
      <c r="B120" s="15" t="str">
        <f t="shared" si="1"/>
        <v/>
      </c>
      <c r="C120" s="15"/>
      <c r="D120" s="15"/>
      <c r="E120" s="15"/>
      <c r="F120" s="15"/>
      <c r="G120" s="16" t="str">
        <f>IF(ISBLANK(E120), "", F120 * VLOOKUP(E120, Estoque_Cadastro!$B$2:$C$100, 2, FALSE))</f>
        <v/>
      </c>
    </row>
    <row r="121" spans="1:7" ht="24.95" customHeight="1" x14ac:dyDescent="0.3">
      <c r="A121" s="14"/>
      <c r="B121" s="15" t="str">
        <f t="shared" si="1"/>
        <v/>
      </c>
      <c r="C121" s="15"/>
      <c r="D121" s="15"/>
      <c r="E121" s="15"/>
      <c r="F121" s="15"/>
      <c r="G121" s="16" t="str">
        <f>IF(ISBLANK(E121), "", F121 * VLOOKUP(E121, Estoque_Cadastro!$B$2:$C$100, 2, FALSE))</f>
        <v/>
      </c>
    </row>
    <row r="122" spans="1:7" ht="24.95" customHeight="1" x14ac:dyDescent="0.3">
      <c r="A122" s="14"/>
      <c r="B122" s="15" t="str">
        <f t="shared" si="1"/>
        <v/>
      </c>
      <c r="C122" s="15"/>
      <c r="D122" s="15"/>
      <c r="E122" s="15"/>
      <c r="F122" s="15"/>
      <c r="G122" s="16" t="str">
        <f>IF(ISBLANK(E122), "", F122 * VLOOKUP(E122, Estoque_Cadastro!$B$2:$C$100, 2, FALSE))</f>
        <v/>
      </c>
    </row>
    <row r="123" spans="1:7" ht="24.95" customHeight="1" x14ac:dyDescent="0.3">
      <c r="A123" s="14"/>
      <c r="B123" s="15" t="str">
        <f t="shared" si="1"/>
        <v/>
      </c>
      <c r="C123" s="15"/>
      <c r="D123" s="15"/>
      <c r="E123" s="15"/>
      <c r="F123" s="15"/>
      <c r="G123" s="16" t="str">
        <f>IF(ISBLANK(E123), "", F123 * VLOOKUP(E123, Estoque_Cadastro!$B$2:$C$100, 2, FALSE))</f>
        <v/>
      </c>
    </row>
    <row r="124" spans="1:7" ht="24.95" customHeight="1" x14ac:dyDescent="0.3">
      <c r="A124" s="14"/>
      <c r="B124" s="15" t="str">
        <f t="shared" si="1"/>
        <v/>
      </c>
      <c r="C124" s="15"/>
      <c r="D124" s="15"/>
      <c r="E124" s="15"/>
      <c r="F124" s="15"/>
      <c r="G124" s="16" t="str">
        <f>IF(ISBLANK(E124), "", F124 * VLOOKUP(E124, Estoque_Cadastro!$B$2:$C$100, 2, FALSE))</f>
        <v/>
      </c>
    </row>
    <row r="125" spans="1:7" ht="24.95" customHeight="1" x14ac:dyDescent="0.3">
      <c r="A125" s="14"/>
      <c r="B125" s="15" t="str">
        <f t="shared" si="1"/>
        <v/>
      </c>
      <c r="C125" s="15"/>
      <c r="D125" s="15"/>
      <c r="E125" s="15"/>
      <c r="F125" s="15"/>
      <c r="G125" s="16" t="str">
        <f>IF(ISBLANK(E125), "", F125 * VLOOKUP(E125, Estoque_Cadastro!$B$2:$C$100, 2, FALSE))</f>
        <v/>
      </c>
    </row>
    <row r="126" spans="1:7" ht="24.95" customHeight="1" x14ac:dyDescent="0.3">
      <c r="A126" s="14"/>
      <c r="B126" s="15" t="str">
        <f t="shared" si="1"/>
        <v/>
      </c>
      <c r="C126" s="15"/>
      <c r="D126" s="15"/>
      <c r="E126" s="15"/>
      <c r="F126" s="15"/>
      <c r="G126" s="16" t="str">
        <f>IF(ISBLANK(E126), "", F126 * VLOOKUP(E126, Estoque_Cadastro!$B$2:$C$100, 2, FALSE))</f>
        <v/>
      </c>
    </row>
    <row r="127" spans="1:7" ht="24.95" customHeight="1" x14ac:dyDescent="0.3">
      <c r="A127" s="14"/>
      <c r="B127" s="15" t="str">
        <f t="shared" si="1"/>
        <v/>
      </c>
      <c r="C127" s="15"/>
      <c r="D127" s="15"/>
      <c r="E127" s="15"/>
      <c r="F127" s="15"/>
      <c r="G127" s="16" t="str">
        <f>IF(ISBLANK(E127), "", F127 * VLOOKUP(E127, Estoque_Cadastro!$B$2:$C$100, 2, FALSE))</f>
        <v/>
      </c>
    </row>
    <row r="128" spans="1:7" ht="24.95" customHeight="1" x14ac:dyDescent="0.3">
      <c r="A128" s="14"/>
      <c r="B128" s="15" t="str">
        <f t="shared" si="1"/>
        <v/>
      </c>
      <c r="C128" s="15"/>
      <c r="D128" s="15"/>
      <c r="E128" s="15"/>
      <c r="F128" s="15"/>
      <c r="G128" s="16" t="str">
        <f>IF(ISBLANK(E128), "", F128 * VLOOKUP(E128, Estoque_Cadastro!$B$2:$C$100, 2, FALSE))</f>
        <v/>
      </c>
    </row>
    <row r="129" spans="1:7" ht="24.95" customHeight="1" x14ac:dyDescent="0.3">
      <c r="A129" s="14"/>
      <c r="B129" s="15" t="str">
        <f t="shared" si="1"/>
        <v/>
      </c>
      <c r="C129" s="15"/>
      <c r="D129" s="15"/>
      <c r="E129" s="15"/>
      <c r="F129" s="15"/>
      <c r="G129" s="16" t="str">
        <f>IF(ISBLANK(E129), "", F129 * VLOOKUP(E129, Estoque_Cadastro!$B$2:$C$100, 2, FALSE))</f>
        <v/>
      </c>
    </row>
    <row r="130" spans="1:7" ht="24.95" customHeight="1" x14ac:dyDescent="0.3">
      <c r="A130" s="14"/>
      <c r="B130" s="15" t="str">
        <f t="shared" ref="B130:B193" si="2">IF(A130="","", MONTH(A130))</f>
        <v/>
      </c>
      <c r="C130" s="15"/>
      <c r="D130" s="15"/>
      <c r="E130" s="15"/>
      <c r="F130" s="15"/>
      <c r="G130" s="16" t="str">
        <f>IF(ISBLANK(E130), "", F130 * VLOOKUP(E130, Estoque_Cadastro!$B$2:$C$100, 2, FALSE))</f>
        <v/>
      </c>
    </row>
    <row r="131" spans="1:7" ht="24.95" customHeight="1" x14ac:dyDescent="0.3">
      <c r="A131" s="14"/>
      <c r="B131" s="15" t="str">
        <f t="shared" si="2"/>
        <v/>
      </c>
      <c r="C131" s="15"/>
      <c r="D131" s="15"/>
      <c r="E131" s="15"/>
      <c r="F131" s="15"/>
      <c r="G131" s="16" t="str">
        <f>IF(ISBLANK(E131), "", F131 * VLOOKUP(E131, Estoque_Cadastro!$B$2:$C$100, 2, FALSE))</f>
        <v/>
      </c>
    </row>
    <row r="132" spans="1:7" ht="24.95" customHeight="1" x14ac:dyDescent="0.3">
      <c r="A132" s="14"/>
      <c r="B132" s="15" t="str">
        <f t="shared" si="2"/>
        <v/>
      </c>
      <c r="C132" s="15"/>
      <c r="D132" s="15"/>
      <c r="E132" s="15"/>
      <c r="F132" s="15"/>
      <c r="G132" s="16" t="str">
        <f>IF(ISBLANK(E132), "", F132 * VLOOKUP(E132, Estoque_Cadastro!$B$2:$C$100, 2, FALSE))</f>
        <v/>
      </c>
    </row>
    <row r="133" spans="1:7" ht="24.95" customHeight="1" x14ac:dyDescent="0.3">
      <c r="A133" s="14"/>
      <c r="B133" s="15" t="str">
        <f t="shared" si="2"/>
        <v/>
      </c>
      <c r="C133" s="15"/>
      <c r="D133" s="15"/>
      <c r="E133" s="15"/>
      <c r="F133" s="15"/>
      <c r="G133" s="16" t="str">
        <f>IF(ISBLANK(E133), "", F133 * VLOOKUP(E133, Estoque_Cadastro!$B$2:$C$100, 2, FALSE))</f>
        <v/>
      </c>
    </row>
    <row r="134" spans="1:7" ht="24.95" customHeight="1" x14ac:dyDescent="0.3">
      <c r="A134" s="14"/>
      <c r="B134" s="15" t="str">
        <f t="shared" si="2"/>
        <v/>
      </c>
      <c r="C134" s="15"/>
      <c r="D134" s="15"/>
      <c r="E134" s="15"/>
      <c r="F134" s="15"/>
      <c r="G134" s="16" t="str">
        <f>IF(ISBLANK(E134), "", F134 * VLOOKUP(E134, Estoque_Cadastro!$B$2:$C$100, 2, FALSE))</f>
        <v/>
      </c>
    </row>
    <row r="135" spans="1:7" ht="24.95" customHeight="1" x14ac:dyDescent="0.3">
      <c r="A135" s="14"/>
      <c r="B135" s="15" t="str">
        <f t="shared" si="2"/>
        <v/>
      </c>
      <c r="C135" s="15"/>
      <c r="D135" s="15"/>
      <c r="E135" s="15"/>
      <c r="F135" s="15"/>
      <c r="G135" s="16" t="str">
        <f>IF(ISBLANK(E135), "", F135 * VLOOKUP(E135, Estoque_Cadastro!$B$2:$C$100, 2, FALSE))</f>
        <v/>
      </c>
    </row>
    <row r="136" spans="1:7" ht="24.95" customHeight="1" x14ac:dyDescent="0.3">
      <c r="A136" s="14"/>
      <c r="B136" s="15" t="str">
        <f t="shared" si="2"/>
        <v/>
      </c>
      <c r="C136" s="15"/>
      <c r="D136" s="15"/>
      <c r="E136" s="15"/>
      <c r="F136" s="15"/>
      <c r="G136" s="16" t="str">
        <f>IF(ISBLANK(E136), "", F136 * VLOOKUP(E136, Estoque_Cadastro!$B$2:$C$100, 2, FALSE))</f>
        <v/>
      </c>
    </row>
    <row r="137" spans="1:7" ht="24.95" customHeight="1" x14ac:dyDescent="0.3">
      <c r="A137" s="14"/>
      <c r="B137" s="15" t="str">
        <f t="shared" si="2"/>
        <v/>
      </c>
      <c r="C137" s="15"/>
      <c r="D137" s="15"/>
      <c r="E137" s="15"/>
      <c r="F137" s="15"/>
      <c r="G137" s="16" t="str">
        <f>IF(ISBLANK(E137), "", F137 * VLOOKUP(E137, Estoque_Cadastro!$B$2:$C$100, 2, FALSE))</f>
        <v/>
      </c>
    </row>
    <row r="138" spans="1:7" ht="24.95" customHeight="1" x14ac:dyDescent="0.3">
      <c r="A138" s="14"/>
      <c r="B138" s="15" t="str">
        <f t="shared" si="2"/>
        <v/>
      </c>
      <c r="C138" s="15"/>
      <c r="D138" s="15"/>
      <c r="E138" s="15"/>
      <c r="F138" s="15"/>
      <c r="G138" s="16" t="str">
        <f>IF(ISBLANK(E138), "", F138 * VLOOKUP(E138, Estoque_Cadastro!$B$2:$C$100, 2, FALSE))</f>
        <v/>
      </c>
    </row>
    <row r="139" spans="1:7" ht="24.95" customHeight="1" x14ac:dyDescent="0.3">
      <c r="A139" s="14"/>
      <c r="B139" s="15" t="str">
        <f t="shared" si="2"/>
        <v/>
      </c>
      <c r="C139" s="15"/>
      <c r="D139" s="15"/>
      <c r="E139" s="15"/>
      <c r="F139" s="15"/>
      <c r="G139" s="16" t="str">
        <f>IF(ISBLANK(E139), "", F139 * VLOOKUP(E139, Estoque_Cadastro!$B$2:$C$100, 2, FALSE))</f>
        <v/>
      </c>
    </row>
    <row r="140" spans="1:7" ht="24.95" customHeight="1" x14ac:dyDescent="0.3">
      <c r="A140" s="14"/>
      <c r="B140" s="15" t="str">
        <f t="shared" si="2"/>
        <v/>
      </c>
      <c r="C140" s="15"/>
      <c r="D140" s="15"/>
      <c r="E140" s="15"/>
      <c r="F140" s="15"/>
      <c r="G140" s="16" t="str">
        <f>IF(ISBLANK(E140), "", F140 * VLOOKUP(E140, Estoque_Cadastro!$B$2:$C$100, 2, FALSE))</f>
        <v/>
      </c>
    </row>
    <row r="141" spans="1:7" ht="24.95" customHeight="1" x14ac:dyDescent="0.3">
      <c r="A141" s="14"/>
      <c r="B141" s="15" t="str">
        <f t="shared" si="2"/>
        <v/>
      </c>
      <c r="C141" s="15"/>
      <c r="D141" s="15"/>
      <c r="E141" s="15"/>
      <c r="F141" s="15"/>
      <c r="G141" s="16" t="str">
        <f>IF(ISBLANK(E141), "", F141 * VLOOKUP(E141, Estoque_Cadastro!$B$2:$C$100, 2, FALSE))</f>
        <v/>
      </c>
    </row>
    <row r="142" spans="1:7" ht="24.95" customHeight="1" x14ac:dyDescent="0.3">
      <c r="A142" s="14"/>
      <c r="B142" s="15" t="str">
        <f t="shared" si="2"/>
        <v/>
      </c>
      <c r="C142" s="15"/>
      <c r="D142" s="15"/>
      <c r="E142" s="15"/>
      <c r="F142" s="15"/>
      <c r="G142" s="16" t="str">
        <f>IF(ISBLANK(E142), "", F142 * VLOOKUP(E142, Estoque_Cadastro!$B$2:$C$100, 2, FALSE))</f>
        <v/>
      </c>
    </row>
    <row r="143" spans="1:7" ht="24.95" customHeight="1" x14ac:dyDescent="0.3">
      <c r="A143" s="14"/>
      <c r="B143" s="15" t="str">
        <f t="shared" si="2"/>
        <v/>
      </c>
      <c r="C143" s="15"/>
      <c r="D143" s="15"/>
      <c r="E143" s="15"/>
      <c r="F143" s="15"/>
      <c r="G143" s="16" t="str">
        <f>IF(ISBLANK(E143), "", F143 * VLOOKUP(E143, Estoque_Cadastro!$B$2:$C$100, 2, FALSE))</f>
        <v/>
      </c>
    </row>
    <row r="144" spans="1:7" ht="24.95" customHeight="1" x14ac:dyDescent="0.3">
      <c r="A144" s="14"/>
      <c r="B144" s="15" t="str">
        <f t="shared" si="2"/>
        <v/>
      </c>
      <c r="C144" s="15"/>
      <c r="D144" s="15"/>
      <c r="E144" s="15"/>
      <c r="F144" s="15"/>
      <c r="G144" s="16" t="str">
        <f>IF(ISBLANK(E144), "", F144 * VLOOKUP(E144, Estoque_Cadastro!$B$2:$C$100, 2, FALSE))</f>
        <v/>
      </c>
    </row>
    <row r="145" spans="1:7" ht="24.95" customHeight="1" x14ac:dyDescent="0.3">
      <c r="A145" s="14"/>
      <c r="B145" s="15" t="str">
        <f t="shared" si="2"/>
        <v/>
      </c>
      <c r="C145" s="15"/>
      <c r="D145" s="15"/>
      <c r="E145" s="15"/>
      <c r="F145" s="15"/>
      <c r="G145" s="16" t="str">
        <f>IF(ISBLANK(E145), "", F145 * VLOOKUP(E145, Estoque_Cadastro!$B$2:$C$100, 2, FALSE))</f>
        <v/>
      </c>
    </row>
    <row r="146" spans="1:7" ht="24.95" customHeight="1" x14ac:dyDescent="0.3">
      <c r="A146" s="14"/>
      <c r="B146" s="15" t="str">
        <f t="shared" si="2"/>
        <v/>
      </c>
      <c r="C146" s="15"/>
      <c r="D146" s="15"/>
      <c r="E146" s="15"/>
      <c r="F146" s="15"/>
      <c r="G146" s="16" t="str">
        <f>IF(ISBLANK(E146), "", F146 * VLOOKUP(E146, Estoque_Cadastro!$B$2:$C$100, 2, FALSE))</f>
        <v/>
      </c>
    </row>
    <row r="147" spans="1:7" ht="24.95" customHeight="1" x14ac:dyDescent="0.3">
      <c r="A147" s="14"/>
      <c r="B147" s="15" t="str">
        <f t="shared" si="2"/>
        <v/>
      </c>
      <c r="C147" s="15"/>
      <c r="D147" s="15"/>
      <c r="E147" s="15"/>
      <c r="F147" s="15"/>
      <c r="G147" s="16" t="str">
        <f>IF(ISBLANK(E147), "", F147 * VLOOKUP(E147, Estoque_Cadastro!$B$2:$C$100, 2, FALSE))</f>
        <v/>
      </c>
    </row>
    <row r="148" spans="1:7" ht="24.95" customHeight="1" x14ac:dyDescent="0.3">
      <c r="A148" s="14"/>
      <c r="B148" s="15" t="str">
        <f t="shared" si="2"/>
        <v/>
      </c>
      <c r="C148" s="15"/>
      <c r="D148" s="15"/>
      <c r="E148" s="15"/>
      <c r="F148" s="15"/>
      <c r="G148" s="16" t="str">
        <f>IF(ISBLANK(E148), "", F148 * VLOOKUP(E148, Estoque_Cadastro!$B$2:$C$100, 2, FALSE))</f>
        <v/>
      </c>
    </row>
    <row r="149" spans="1:7" ht="24.95" customHeight="1" x14ac:dyDescent="0.3">
      <c r="A149" s="14"/>
      <c r="B149" s="15" t="str">
        <f t="shared" si="2"/>
        <v/>
      </c>
      <c r="C149" s="15"/>
      <c r="D149" s="15"/>
      <c r="E149" s="15"/>
      <c r="F149" s="15"/>
      <c r="G149" s="16" t="str">
        <f>IF(ISBLANK(E149), "", F149 * VLOOKUP(E149, Estoque_Cadastro!$B$2:$C$100, 2, FALSE))</f>
        <v/>
      </c>
    </row>
    <row r="150" spans="1:7" ht="24.95" customHeight="1" x14ac:dyDescent="0.3">
      <c r="A150" s="14"/>
      <c r="B150" s="15" t="str">
        <f t="shared" si="2"/>
        <v/>
      </c>
      <c r="C150" s="15"/>
      <c r="D150" s="15"/>
      <c r="E150" s="15"/>
      <c r="F150" s="15"/>
      <c r="G150" s="16" t="str">
        <f>IF(ISBLANK(E150), "", F150 * VLOOKUP(E150, Estoque_Cadastro!$B$2:$C$100, 2, FALSE))</f>
        <v/>
      </c>
    </row>
    <row r="151" spans="1:7" ht="24.95" customHeight="1" x14ac:dyDescent="0.3">
      <c r="A151" s="14"/>
      <c r="B151" s="15" t="str">
        <f t="shared" si="2"/>
        <v/>
      </c>
      <c r="C151" s="15"/>
      <c r="D151" s="15"/>
      <c r="E151" s="15"/>
      <c r="F151" s="15"/>
      <c r="G151" s="16" t="str">
        <f>IF(ISBLANK(E151), "", F151 * VLOOKUP(E151, Estoque_Cadastro!$B$2:$C$100, 2, FALSE))</f>
        <v/>
      </c>
    </row>
    <row r="152" spans="1:7" ht="24.95" customHeight="1" x14ac:dyDescent="0.3">
      <c r="A152" s="14"/>
      <c r="B152" s="15" t="str">
        <f t="shared" si="2"/>
        <v/>
      </c>
      <c r="C152" s="15"/>
      <c r="D152" s="15"/>
      <c r="E152" s="15"/>
      <c r="F152" s="15"/>
      <c r="G152" s="16" t="str">
        <f>IF(ISBLANK(E152), "", F152 * VLOOKUP(E152, Estoque_Cadastro!$B$2:$C$100, 2, FALSE))</f>
        <v/>
      </c>
    </row>
    <row r="153" spans="1:7" ht="24.95" customHeight="1" x14ac:dyDescent="0.3">
      <c r="A153" s="14"/>
      <c r="B153" s="15" t="str">
        <f t="shared" si="2"/>
        <v/>
      </c>
      <c r="C153" s="15"/>
      <c r="D153" s="15"/>
      <c r="E153" s="15"/>
      <c r="F153" s="15"/>
      <c r="G153" s="16" t="str">
        <f>IF(ISBLANK(E153), "", F153 * VLOOKUP(E153, Estoque_Cadastro!$B$2:$C$100, 2, FALSE))</f>
        <v/>
      </c>
    </row>
    <row r="154" spans="1:7" ht="24.95" customHeight="1" x14ac:dyDescent="0.3">
      <c r="A154" s="14"/>
      <c r="B154" s="15" t="str">
        <f t="shared" si="2"/>
        <v/>
      </c>
      <c r="C154" s="15"/>
      <c r="D154" s="15"/>
      <c r="E154" s="15"/>
      <c r="F154" s="15"/>
      <c r="G154" s="16" t="str">
        <f>IF(ISBLANK(E154), "", F154 * VLOOKUP(E154, Estoque_Cadastro!$B$2:$C$100, 2, FALSE))</f>
        <v/>
      </c>
    </row>
    <row r="155" spans="1:7" ht="24.95" customHeight="1" x14ac:dyDescent="0.3">
      <c r="A155" s="14"/>
      <c r="B155" s="15" t="str">
        <f t="shared" si="2"/>
        <v/>
      </c>
      <c r="C155" s="15"/>
      <c r="D155" s="15"/>
      <c r="E155" s="15"/>
      <c r="F155" s="15"/>
      <c r="G155" s="16" t="str">
        <f>IF(ISBLANK(E155), "", F155 * VLOOKUP(E155, Estoque_Cadastro!$B$2:$C$100, 2, FALSE))</f>
        <v/>
      </c>
    </row>
    <row r="156" spans="1:7" ht="24.95" customHeight="1" x14ac:dyDescent="0.3">
      <c r="A156" s="14"/>
      <c r="B156" s="15" t="str">
        <f t="shared" si="2"/>
        <v/>
      </c>
      <c r="C156" s="15"/>
      <c r="D156" s="15"/>
      <c r="E156" s="15"/>
      <c r="F156" s="15"/>
      <c r="G156" s="16" t="str">
        <f>IF(ISBLANK(E156), "", F156 * VLOOKUP(E156, Estoque_Cadastro!$B$2:$C$100, 2, FALSE))</f>
        <v/>
      </c>
    </row>
    <row r="157" spans="1:7" ht="24.95" customHeight="1" x14ac:dyDescent="0.3">
      <c r="A157" s="14"/>
      <c r="B157" s="15" t="str">
        <f t="shared" si="2"/>
        <v/>
      </c>
      <c r="C157" s="15"/>
      <c r="D157" s="15"/>
      <c r="E157" s="15"/>
      <c r="F157" s="15"/>
      <c r="G157" s="16" t="str">
        <f>IF(ISBLANK(E157), "", F157 * VLOOKUP(E157, Estoque_Cadastro!$B$2:$C$100, 2, FALSE))</f>
        <v/>
      </c>
    </row>
    <row r="158" spans="1:7" ht="24.95" customHeight="1" x14ac:dyDescent="0.3">
      <c r="A158" s="14"/>
      <c r="B158" s="15" t="str">
        <f t="shared" si="2"/>
        <v/>
      </c>
      <c r="C158" s="15"/>
      <c r="D158" s="15"/>
      <c r="E158" s="15"/>
      <c r="F158" s="15"/>
      <c r="G158" s="16" t="str">
        <f>IF(ISBLANK(E158), "", F158 * VLOOKUP(E158, Estoque_Cadastro!$B$2:$C$100, 2, FALSE))</f>
        <v/>
      </c>
    </row>
    <row r="159" spans="1:7" ht="24.95" customHeight="1" x14ac:dyDescent="0.3">
      <c r="A159" s="14"/>
      <c r="B159" s="15" t="str">
        <f t="shared" si="2"/>
        <v/>
      </c>
      <c r="C159" s="15"/>
      <c r="D159" s="15"/>
      <c r="E159" s="15"/>
      <c r="F159" s="15"/>
      <c r="G159" s="16" t="str">
        <f>IF(ISBLANK(E159), "", F159 * VLOOKUP(E159, Estoque_Cadastro!$B$2:$C$100, 2, FALSE))</f>
        <v/>
      </c>
    </row>
    <row r="160" spans="1:7" ht="24.95" customHeight="1" x14ac:dyDescent="0.3">
      <c r="A160" s="14"/>
      <c r="B160" s="15" t="str">
        <f t="shared" si="2"/>
        <v/>
      </c>
      <c r="C160" s="15"/>
      <c r="D160" s="15"/>
      <c r="E160" s="15"/>
      <c r="F160" s="15"/>
      <c r="G160" s="16" t="str">
        <f>IF(ISBLANK(E160), "", F160 * VLOOKUP(E160, Estoque_Cadastro!$B$2:$C$100, 2, FALSE))</f>
        <v/>
      </c>
    </row>
    <row r="161" spans="1:7" ht="24.95" customHeight="1" x14ac:dyDescent="0.3">
      <c r="A161" s="14"/>
      <c r="B161" s="15" t="str">
        <f t="shared" si="2"/>
        <v/>
      </c>
      <c r="C161" s="15"/>
      <c r="D161" s="15"/>
      <c r="E161" s="15"/>
      <c r="F161" s="15"/>
      <c r="G161" s="16" t="str">
        <f>IF(ISBLANK(E161), "", F161 * VLOOKUP(E161, Estoque_Cadastro!$B$2:$C$100, 2, FALSE))</f>
        <v/>
      </c>
    </row>
    <row r="162" spans="1:7" ht="24.95" customHeight="1" x14ac:dyDescent="0.3">
      <c r="A162" s="14"/>
      <c r="B162" s="15" t="str">
        <f t="shared" si="2"/>
        <v/>
      </c>
      <c r="C162" s="15"/>
      <c r="D162" s="15"/>
      <c r="E162" s="15"/>
      <c r="F162" s="15"/>
      <c r="G162" s="16" t="str">
        <f>IF(ISBLANK(E162), "", F162 * VLOOKUP(E162, Estoque_Cadastro!$B$2:$C$100, 2, FALSE))</f>
        <v/>
      </c>
    </row>
    <row r="163" spans="1:7" ht="24.95" customHeight="1" x14ac:dyDescent="0.3">
      <c r="A163" s="14"/>
      <c r="B163" s="15" t="str">
        <f t="shared" si="2"/>
        <v/>
      </c>
      <c r="C163" s="15"/>
      <c r="D163" s="15"/>
      <c r="E163" s="15"/>
      <c r="F163" s="15"/>
      <c r="G163" s="16" t="str">
        <f>IF(ISBLANK(E163), "", F163 * VLOOKUP(E163, Estoque_Cadastro!$B$2:$C$100, 2, FALSE))</f>
        <v/>
      </c>
    </row>
    <row r="164" spans="1:7" ht="24.95" customHeight="1" x14ac:dyDescent="0.3">
      <c r="A164" s="14"/>
      <c r="B164" s="15" t="str">
        <f t="shared" si="2"/>
        <v/>
      </c>
      <c r="C164" s="15"/>
      <c r="D164" s="15"/>
      <c r="E164" s="15"/>
      <c r="F164" s="15"/>
      <c r="G164" s="16" t="str">
        <f>IF(ISBLANK(E164), "", F164 * VLOOKUP(E164, Estoque_Cadastro!$B$2:$C$100, 2, FALSE))</f>
        <v/>
      </c>
    </row>
    <row r="165" spans="1:7" ht="24.95" customHeight="1" x14ac:dyDescent="0.3">
      <c r="A165" s="14"/>
      <c r="B165" s="15" t="str">
        <f t="shared" si="2"/>
        <v/>
      </c>
      <c r="C165" s="15"/>
      <c r="D165" s="15"/>
      <c r="E165" s="15"/>
      <c r="F165" s="15"/>
      <c r="G165" s="16" t="str">
        <f>IF(ISBLANK(E165), "", F165 * VLOOKUP(E165, Estoque_Cadastro!$B$2:$C$100, 2, FALSE))</f>
        <v/>
      </c>
    </row>
    <row r="166" spans="1:7" ht="24.95" customHeight="1" x14ac:dyDescent="0.3">
      <c r="A166" s="14"/>
      <c r="B166" s="15" t="str">
        <f t="shared" si="2"/>
        <v/>
      </c>
      <c r="C166" s="15"/>
      <c r="D166" s="15"/>
      <c r="E166" s="15"/>
      <c r="F166" s="15"/>
      <c r="G166" s="16" t="str">
        <f>IF(ISBLANK(E166), "", F166 * VLOOKUP(E166, Estoque_Cadastro!$B$2:$C$100, 2, FALSE))</f>
        <v/>
      </c>
    </row>
    <row r="167" spans="1:7" ht="24.95" customHeight="1" x14ac:dyDescent="0.3">
      <c r="A167" s="14"/>
      <c r="B167" s="15" t="str">
        <f t="shared" si="2"/>
        <v/>
      </c>
      <c r="C167" s="15"/>
      <c r="D167" s="15"/>
      <c r="E167" s="15"/>
      <c r="F167" s="15"/>
      <c r="G167" s="16" t="str">
        <f>IF(ISBLANK(E167), "", F167 * VLOOKUP(E167, Estoque_Cadastro!$B$2:$C$100, 2, FALSE))</f>
        <v/>
      </c>
    </row>
    <row r="168" spans="1:7" ht="24.95" customHeight="1" x14ac:dyDescent="0.3">
      <c r="A168" s="14"/>
      <c r="B168" s="15" t="str">
        <f t="shared" si="2"/>
        <v/>
      </c>
      <c r="C168" s="15"/>
      <c r="D168" s="15"/>
      <c r="E168" s="15"/>
      <c r="F168" s="15"/>
      <c r="G168" s="16" t="str">
        <f>IF(ISBLANK(E168), "", F168 * VLOOKUP(E168, Estoque_Cadastro!$B$2:$C$100, 2, FALSE))</f>
        <v/>
      </c>
    </row>
    <row r="169" spans="1:7" ht="24.95" customHeight="1" x14ac:dyDescent="0.3">
      <c r="A169" s="14"/>
      <c r="B169" s="15" t="str">
        <f t="shared" si="2"/>
        <v/>
      </c>
      <c r="C169" s="15"/>
      <c r="D169" s="15"/>
      <c r="E169" s="15"/>
      <c r="F169" s="15"/>
      <c r="G169" s="16" t="str">
        <f>IF(ISBLANK(E169), "", F169 * VLOOKUP(E169, Estoque_Cadastro!$B$2:$C$100, 2, FALSE))</f>
        <v/>
      </c>
    </row>
    <row r="170" spans="1:7" ht="24.95" customHeight="1" x14ac:dyDescent="0.3">
      <c r="A170" s="14"/>
      <c r="B170" s="15" t="str">
        <f t="shared" si="2"/>
        <v/>
      </c>
      <c r="C170" s="15"/>
      <c r="D170" s="15"/>
      <c r="E170" s="15"/>
      <c r="F170" s="15"/>
      <c r="G170" s="16" t="str">
        <f>IF(ISBLANK(E170), "", F170 * VLOOKUP(E170, Estoque_Cadastro!$B$2:$C$100, 2, FALSE))</f>
        <v/>
      </c>
    </row>
    <row r="171" spans="1:7" ht="24.95" customHeight="1" x14ac:dyDescent="0.3">
      <c r="A171" s="14"/>
      <c r="B171" s="15" t="str">
        <f t="shared" si="2"/>
        <v/>
      </c>
      <c r="C171" s="15"/>
      <c r="D171" s="15"/>
      <c r="E171" s="15"/>
      <c r="F171" s="15"/>
      <c r="G171" s="16" t="str">
        <f>IF(ISBLANK(E171), "", F171 * VLOOKUP(E171, Estoque_Cadastro!$B$2:$C$100, 2, FALSE))</f>
        <v/>
      </c>
    </row>
    <row r="172" spans="1:7" ht="24.95" customHeight="1" x14ac:dyDescent="0.3">
      <c r="A172" s="14"/>
      <c r="B172" s="15" t="str">
        <f t="shared" si="2"/>
        <v/>
      </c>
      <c r="C172" s="15"/>
      <c r="D172" s="15"/>
      <c r="E172" s="15"/>
      <c r="F172" s="15"/>
      <c r="G172" s="16" t="str">
        <f>IF(ISBLANK(E172), "", F172 * VLOOKUP(E172, Estoque_Cadastro!$B$2:$C$100, 2, FALSE))</f>
        <v/>
      </c>
    </row>
    <row r="173" spans="1:7" ht="24.95" customHeight="1" x14ac:dyDescent="0.3">
      <c r="A173" s="14"/>
      <c r="B173" s="15" t="str">
        <f t="shared" si="2"/>
        <v/>
      </c>
      <c r="C173" s="15"/>
      <c r="D173" s="15"/>
      <c r="E173" s="15"/>
      <c r="F173" s="15"/>
      <c r="G173" s="16" t="str">
        <f>IF(ISBLANK(E173), "", F173 * VLOOKUP(E173, Estoque_Cadastro!$B$2:$C$100, 2, FALSE))</f>
        <v/>
      </c>
    </row>
    <row r="174" spans="1:7" ht="24.95" customHeight="1" x14ac:dyDescent="0.3">
      <c r="A174" s="14"/>
      <c r="B174" s="15" t="str">
        <f t="shared" si="2"/>
        <v/>
      </c>
      <c r="C174" s="15"/>
      <c r="D174" s="15"/>
      <c r="E174" s="15"/>
      <c r="F174" s="15"/>
      <c r="G174" s="16" t="str">
        <f>IF(ISBLANK(E174), "", F174 * VLOOKUP(E174, Estoque_Cadastro!$B$2:$C$100, 2, FALSE))</f>
        <v/>
      </c>
    </row>
    <row r="175" spans="1:7" ht="24.95" customHeight="1" x14ac:dyDescent="0.3">
      <c r="A175" s="14"/>
      <c r="B175" s="15" t="str">
        <f t="shared" si="2"/>
        <v/>
      </c>
      <c r="C175" s="15"/>
      <c r="D175" s="15"/>
      <c r="E175" s="15"/>
      <c r="F175" s="15"/>
      <c r="G175" s="16" t="str">
        <f>IF(ISBLANK(E175), "", F175 * VLOOKUP(E175, Estoque_Cadastro!$B$2:$C$100, 2, FALSE))</f>
        <v/>
      </c>
    </row>
    <row r="176" spans="1:7" ht="24.95" customHeight="1" x14ac:dyDescent="0.3">
      <c r="A176" s="14"/>
      <c r="B176" s="15" t="str">
        <f t="shared" si="2"/>
        <v/>
      </c>
      <c r="C176" s="15"/>
      <c r="D176" s="15"/>
      <c r="E176" s="15"/>
      <c r="F176" s="15"/>
      <c r="G176" s="16" t="str">
        <f>IF(ISBLANK(E176), "", F176 * VLOOKUP(E176, Estoque_Cadastro!$B$2:$C$100, 2, FALSE))</f>
        <v/>
      </c>
    </row>
    <row r="177" spans="1:7" ht="24.95" customHeight="1" x14ac:dyDescent="0.3">
      <c r="A177" s="14"/>
      <c r="B177" s="15" t="str">
        <f t="shared" si="2"/>
        <v/>
      </c>
      <c r="C177" s="15"/>
      <c r="D177" s="15"/>
      <c r="E177" s="15"/>
      <c r="F177" s="15"/>
      <c r="G177" s="16" t="str">
        <f>IF(ISBLANK(E177), "", F177 * VLOOKUP(E177, Estoque_Cadastro!$B$2:$C$100, 2, FALSE))</f>
        <v/>
      </c>
    </row>
    <row r="178" spans="1:7" ht="24.95" customHeight="1" x14ac:dyDescent="0.3">
      <c r="A178" s="14"/>
      <c r="B178" s="15" t="str">
        <f t="shared" si="2"/>
        <v/>
      </c>
      <c r="C178" s="15"/>
      <c r="D178" s="15"/>
      <c r="E178" s="15"/>
      <c r="F178" s="15"/>
      <c r="G178" s="16" t="str">
        <f>IF(ISBLANK(E178), "", F178 * VLOOKUP(E178, Estoque_Cadastro!$B$2:$C$100, 2, FALSE))</f>
        <v/>
      </c>
    </row>
    <row r="179" spans="1:7" ht="24.95" customHeight="1" x14ac:dyDescent="0.3">
      <c r="A179" s="14"/>
      <c r="B179" s="15" t="str">
        <f t="shared" si="2"/>
        <v/>
      </c>
      <c r="C179" s="15"/>
      <c r="D179" s="15"/>
      <c r="E179" s="15"/>
      <c r="F179" s="15"/>
      <c r="G179" s="16" t="str">
        <f>IF(ISBLANK(E179), "", F179 * VLOOKUP(E179, Estoque_Cadastro!$B$2:$C$100, 2, FALSE))</f>
        <v/>
      </c>
    </row>
    <row r="180" spans="1:7" ht="24.95" customHeight="1" x14ac:dyDescent="0.3">
      <c r="A180" s="14"/>
      <c r="B180" s="15" t="str">
        <f t="shared" si="2"/>
        <v/>
      </c>
      <c r="C180" s="15"/>
      <c r="D180" s="15"/>
      <c r="E180" s="15"/>
      <c r="F180" s="15"/>
      <c r="G180" s="16" t="str">
        <f>IF(ISBLANK(E180), "", F180 * VLOOKUP(E180, Estoque_Cadastro!$B$2:$C$100, 2, FALSE))</f>
        <v/>
      </c>
    </row>
    <row r="181" spans="1:7" ht="24.95" customHeight="1" x14ac:dyDescent="0.3">
      <c r="A181" s="14"/>
      <c r="B181" s="15" t="str">
        <f t="shared" si="2"/>
        <v/>
      </c>
      <c r="C181" s="15"/>
      <c r="D181" s="15"/>
      <c r="E181" s="15"/>
      <c r="F181" s="15"/>
      <c r="G181" s="16" t="str">
        <f>IF(ISBLANK(E181), "", F181 * VLOOKUP(E181, Estoque_Cadastro!$B$2:$C$100, 2, FALSE))</f>
        <v/>
      </c>
    </row>
    <row r="182" spans="1:7" ht="24.95" customHeight="1" x14ac:dyDescent="0.3">
      <c r="A182" s="14"/>
      <c r="B182" s="15" t="str">
        <f t="shared" si="2"/>
        <v/>
      </c>
      <c r="C182" s="15"/>
      <c r="D182" s="15"/>
      <c r="E182" s="15"/>
      <c r="F182" s="15"/>
      <c r="G182" s="16" t="str">
        <f>IF(ISBLANK(E182), "", F182 * VLOOKUP(E182, Estoque_Cadastro!$B$2:$C$100, 2, FALSE))</f>
        <v/>
      </c>
    </row>
    <row r="183" spans="1:7" ht="24.95" customHeight="1" x14ac:dyDescent="0.3">
      <c r="A183" s="14"/>
      <c r="B183" s="15" t="str">
        <f t="shared" si="2"/>
        <v/>
      </c>
      <c r="C183" s="15"/>
      <c r="D183" s="15"/>
      <c r="E183" s="15"/>
      <c r="F183" s="15"/>
      <c r="G183" s="16" t="str">
        <f>IF(ISBLANK(E183), "", F183 * VLOOKUP(E183, Estoque_Cadastro!$B$2:$C$100, 2, FALSE))</f>
        <v/>
      </c>
    </row>
    <row r="184" spans="1:7" ht="24.95" customHeight="1" x14ac:dyDescent="0.3">
      <c r="A184" s="14"/>
      <c r="B184" s="15" t="str">
        <f t="shared" si="2"/>
        <v/>
      </c>
      <c r="C184" s="15"/>
      <c r="D184" s="15"/>
      <c r="E184" s="15"/>
      <c r="F184" s="15"/>
      <c r="G184" s="16" t="str">
        <f>IF(ISBLANK(E184), "", F184 * VLOOKUP(E184, Estoque_Cadastro!$B$2:$C$100, 2, FALSE))</f>
        <v/>
      </c>
    </row>
    <row r="185" spans="1:7" ht="24.95" customHeight="1" x14ac:dyDescent="0.3">
      <c r="A185" s="14"/>
      <c r="B185" s="15" t="str">
        <f t="shared" si="2"/>
        <v/>
      </c>
      <c r="C185" s="15"/>
      <c r="D185" s="15"/>
      <c r="E185" s="15"/>
      <c r="F185" s="15"/>
      <c r="G185" s="16" t="str">
        <f>IF(ISBLANK(E185), "", F185 * VLOOKUP(E185, Estoque_Cadastro!$B$2:$C$100, 2, FALSE))</f>
        <v/>
      </c>
    </row>
    <row r="186" spans="1:7" ht="24.95" customHeight="1" x14ac:dyDescent="0.3">
      <c r="A186" s="14"/>
      <c r="B186" s="15" t="str">
        <f t="shared" si="2"/>
        <v/>
      </c>
      <c r="C186" s="15"/>
      <c r="D186" s="15"/>
      <c r="E186" s="15"/>
      <c r="F186" s="15"/>
      <c r="G186" s="16" t="str">
        <f>IF(ISBLANK(E186), "", F186 * VLOOKUP(E186, Estoque_Cadastro!$B$2:$C$100, 2, FALSE))</f>
        <v/>
      </c>
    </row>
    <row r="187" spans="1:7" ht="24.95" customHeight="1" x14ac:dyDescent="0.3">
      <c r="A187" s="14"/>
      <c r="B187" s="15" t="str">
        <f t="shared" si="2"/>
        <v/>
      </c>
      <c r="C187" s="15"/>
      <c r="D187" s="15"/>
      <c r="E187" s="15"/>
      <c r="F187" s="15"/>
      <c r="G187" s="16" t="str">
        <f>IF(ISBLANK(E187), "", F187 * VLOOKUP(E187, Estoque_Cadastro!$B$2:$C$100, 2, FALSE))</f>
        <v/>
      </c>
    </row>
    <row r="188" spans="1:7" ht="24.95" customHeight="1" x14ac:dyDescent="0.3">
      <c r="A188" s="14"/>
      <c r="B188" s="15" t="str">
        <f t="shared" si="2"/>
        <v/>
      </c>
      <c r="C188" s="15"/>
      <c r="D188" s="15"/>
      <c r="E188" s="15"/>
      <c r="F188" s="15"/>
      <c r="G188" s="16" t="str">
        <f>IF(ISBLANK(E188), "", F188 * VLOOKUP(E188, Estoque_Cadastro!$B$2:$C$100, 2, FALSE))</f>
        <v/>
      </c>
    </row>
    <row r="189" spans="1:7" ht="24.95" customHeight="1" x14ac:dyDescent="0.3">
      <c r="A189" s="14"/>
      <c r="B189" s="15" t="str">
        <f t="shared" si="2"/>
        <v/>
      </c>
      <c r="C189" s="15"/>
      <c r="D189" s="15"/>
      <c r="E189" s="15"/>
      <c r="F189" s="15"/>
      <c r="G189" s="16" t="str">
        <f>IF(ISBLANK(E189), "", F189 * VLOOKUP(E189, Estoque_Cadastro!$B$2:$C$100, 2, FALSE))</f>
        <v/>
      </c>
    </row>
    <row r="190" spans="1:7" ht="24.95" customHeight="1" x14ac:dyDescent="0.3">
      <c r="A190" s="14"/>
      <c r="B190" s="15" t="str">
        <f t="shared" si="2"/>
        <v/>
      </c>
      <c r="C190" s="15"/>
      <c r="D190" s="15"/>
      <c r="E190" s="15"/>
      <c r="F190" s="15"/>
      <c r="G190" s="16" t="str">
        <f>IF(ISBLANK(E190), "", F190 * VLOOKUP(E190, Estoque_Cadastro!$B$2:$C$100, 2, FALSE))</f>
        <v/>
      </c>
    </row>
    <row r="191" spans="1:7" ht="24.95" customHeight="1" x14ac:dyDescent="0.3">
      <c r="A191" s="14"/>
      <c r="B191" s="15" t="str">
        <f t="shared" si="2"/>
        <v/>
      </c>
      <c r="C191" s="15"/>
      <c r="D191" s="15"/>
      <c r="E191" s="15"/>
      <c r="F191" s="15"/>
      <c r="G191" s="16" t="str">
        <f>IF(ISBLANK(E191), "", F191 * VLOOKUP(E191, Estoque_Cadastro!$B$2:$C$100, 2, FALSE))</f>
        <v/>
      </c>
    </row>
    <row r="192" spans="1:7" ht="24.95" customHeight="1" x14ac:dyDescent="0.3">
      <c r="A192" s="14"/>
      <c r="B192" s="15" t="str">
        <f t="shared" si="2"/>
        <v/>
      </c>
      <c r="C192" s="15"/>
      <c r="D192" s="15"/>
      <c r="E192" s="15"/>
      <c r="F192" s="15"/>
      <c r="G192" s="16" t="str">
        <f>IF(ISBLANK(E192), "", F192 * VLOOKUP(E192, Estoque_Cadastro!$B$2:$C$100, 2, FALSE))</f>
        <v/>
      </c>
    </row>
    <row r="193" spans="1:7" ht="24.95" customHeight="1" x14ac:dyDescent="0.3">
      <c r="A193" s="14"/>
      <c r="B193" s="15" t="str">
        <f t="shared" si="2"/>
        <v/>
      </c>
      <c r="C193" s="15"/>
      <c r="D193" s="15"/>
      <c r="E193" s="15"/>
      <c r="F193" s="15"/>
      <c r="G193" s="16" t="str">
        <f>IF(ISBLANK(E193), "", F193 * VLOOKUP(E193, Estoque_Cadastro!$B$2:$C$100, 2, FALSE))</f>
        <v/>
      </c>
    </row>
    <row r="194" spans="1:7" ht="24.95" customHeight="1" x14ac:dyDescent="0.3">
      <c r="A194" s="14"/>
      <c r="B194" s="15" t="str">
        <f t="shared" ref="B194:B257" si="3">IF(A194="","", MONTH(A194))</f>
        <v/>
      </c>
      <c r="C194" s="15"/>
      <c r="D194" s="15"/>
      <c r="E194" s="15"/>
      <c r="F194" s="15"/>
      <c r="G194" s="16" t="str">
        <f>IF(ISBLANK(E194), "", F194 * VLOOKUP(E194, Estoque_Cadastro!$B$2:$C$100, 2, FALSE))</f>
        <v/>
      </c>
    </row>
    <row r="195" spans="1:7" ht="24.95" customHeight="1" x14ac:dyDescent="0.3">
      <c r="A195" s="14"/>
      <c r="B195" s="15" t="str">
        <f t="shared" si="3"/>
        <v/>
      </c>
      <c r="C195" s="15"/>
      <c r="D195" s="15"/>
      <c r="E195" s="15"/>
      <c r="F195" s="15"/>
      <c r="G195" s="16" t="str">
        <f>IF(ISBLANK(E195), "", F195 * VLOOKUP(E195, Estoque_Cadastro!$B$2:$C$100, 2, FALSE))</f>
        <v/>
      </c>
    </row>
    <row r="196" spans="1:7" ht="24.95" customHeight="1" x14ac:dyDescent="0.3">
      <c r="A196" s="14"/>
      <c r="B196" s="15" t="str">
        <f t="shared" si="3"/>
        <v/>
      </c>
      <c r="C196" s="15"/>
      <c r="D196" s="15"/>
      <c r="E196" s="15"/>
      <c r="F196" s="15"/>
      <c r="G196" s="16" t="str">
        <f>IF(ISBLANK(E196), "", F196 * VLOOKUP(E196, Estoque_Cadastro!$B$2:$C$100, 2, FALSE))</f>
        <v/>
      </c>
    </row>
    <row r="197" spans="1:7" ht="24.95" customHeight="1" x14ac:dyDescent="0.3">
      <c r="A197" s="14"/>
      <c r="B197" s="15" t="str">
        <f t="shared" si="3"/>
        <v/>
      </c>
      <c r="C197" s="15"/>
      <c r="D197" s="15"/>
      <c r="E197" s="15"/>
      <c r="F197" s="15"/>
      <c r="G197" s="16" t="str">
        <f>IF(ISBLANK(E197), "", F197 * VLOOKUP(E197, Estoque_Cadastro!$B$2:$C$100, 2, FALSE))</f>
        <v/>
      </c>
    </row>
    <row r="198" spans="1:7" ht="24.95" customHeight="1" x14ac:dyDescent="0.3">
      <c r="A198" s="14"/>
      <c r="B198" s="15" t="str">
        <f t="shared" si="3"/>
        <v/>
      </c>
      <c r="C198" s="15"/>
      <c r="D198" s="15"/>
      <c r="E198" s="15"/>
      <c r="F198" s="15"/>
      <c r="G198" s="16" t="str">
        <f>IF(ISBLANK(E198), "", F198 * VLOOKUP(E198, Estoque_Cadastro!$B$2:$C$100, 2, FALSE))</f>
        <v/>
      </c>
    </row>
    <row r="199" spans="1:7" ht="24.95" customHeight="1" x14ac:dyDescent="0.3">
      <c r="A199" s="14"/>
      <c r="B199" s="15" t="str">
        <f t="shared" si="3"/>
        <v/>
      </c>
      <c r="C199" s="15"/>
      <c r="D199" s="15"/>
      <c r="E199" s="15"/>
      <c r="F199" s="15"/>
      <c r="G199" s="16" t="str">
        <f>IF(ISBLANK(E199), "", F199 * VLOOKUP(E199, Estoque_Cadastro!$B$2:$C$100, 2, FALSE))</f>
        <v/>
      </c>
    </row>
    <row r="200" spans="1:7" ht="24.95" customHeight="1" x14ac:dyDescent="0.3">
      <c r="A200" s="14"/>
      <c r="B200" s="15" t="str">
        <f t="shared" si="3"/>
        <v/>
      </c>
      <c r="C200" s="15"/>
      <c r="D200" s="15"/>
      <c r="E200" s="15"/>
      <c r="F200" s="15"/>
      <c r="G200" s="16" t="str">
        <f>IF(ISBLANK(E200), "", F200 * VLOOKUP(E200, Estoque_Cadastro!$B$2:$C$100, 2, FALSE))</f>
        <v/>
      </c>
    </row>
    <row r="201" spans="1:7" ht="24.95" customHeight="1" x14ac:dyDescent="0.3">
      <c r="A201" s="14"/>
      <c r="B201" s="15" t="str">
        <f t="shared" si="3"/>
        <v/>
      </c>
      <c r="C201" s="15"/>
      <c r="D201" s="15"/>
      <c r="E201" s="15"/>
      <c r="F201" s="15"/>
      <c r="G201" s="16" t="str">
        <f>IF(ISBLANK(E201), "", F201 * VLOOKUP(E201, Estoque_Cadastro!$B$2:$C$100, 2, FALSE))</f>
        <v/>
      </c>
    </row>
    <row r="202" spans="1:7" ht="24.95" customHeight="1" x14ac:dyDescent="0.3">
      <c r="A202" s="14"/>
      <c r="B202" s="15" t="str">
        <f t="shared" si="3"/>
        <v/>
      </c>
      <c r="C202" s="15"/>
      <c r="D202" s="15"/>
      <c r="E202" s="15"/>
      <c r="F202" s="15"/>
      <c r="G202" s="16" t="str">
        <f>IF(ISBLANK(E202), "", F202 * VLOOKUP(E202, Estoque_Cadastro!$B$2:$C$100, 2, FALSE))</f>
        <v/>
      </c>
    </row>
    <row r="203" spans="1:7" ht="24.95" customHeight="1" x14ac:dyDescent="0.3">
      <c r="A203" s="14"/>
      <c r="B203" s="15" t="str">
        <f t="shared" si="3"/>
        <v/>
      </c>
      <c r="C203" s="15"/>
      <c r="D203" s="15"/>
      <c r="E203" s="15"/>
      <c r="F203" s="15"/>
      <c r="G203" s="16" t="str">
        <f>IF(ISBLANK(E203), "", F203 * VLOOKUP(E203, Estoque_Cadastro!$B$2:$C$100, 2, FALSE))</f>
        <v/>
      </c>
    </row>
    <row r="204" spans="1:7" ht="24.95" customHeight="1" x14ac:dyDescent="0.3">
      <c r="A204" s="14"/>
      <c r="B204" s="15" t="str">
        <f t="shared" si="3"/>
        <v/>
      </c>
      <c r="C204" s="15"/>
      <c r="D204" s="15"/>
      <c r="E204" s="15"/>
      <c r="F204" s="15"/>
      <c r="G204" s="16" t="str">
        <f>IF(ISBLANK(E204), "", F204 * VLOOKUP(E204, Estoque_Cadastro!$B$2:$C$100, 2, FALSE))</f>
        <v/>
      </c>
    </row>
    <row r="205" spans="1:7" ht="24.95" customHeight="1" x14ac:dyDescent="0.3">
      <c r="A205" s="14"/>
      <c r="B205" s="15" t="str">
        <f t="shared" si="3"/>
        <v/>
      </c>
      <c r="C205" s="15"/>
      <c r="D205" s="15"/>
      <c r="E205" s="15"/>
      <c r="F205" s="15"/>
      <c r="G205" s="16" t="str">
        <f>IF(ISBLANK(E205), "", F205 * VLOOKUP(E205, Estoque_Cadastro!$B$2:$C$100, 2, FALSE))</f>
        <v/>
      </c>
    </row>
    <row r="206" spans="1:7" ht="24.95" customHeight="1" x14ac:dyDescent="0.3">
      <c r="A206" s="14"/>
      <c r="B206" s="15" t="str">
        <f t="shared" si="3"/>
        <v/>
      </c>
      <c r="C206" s="15"/>
      <c r="D206" s="15"/>
      <c r="E206" s="15"/>
      <c r="F206" s="15"/>
      <c r="G206" s="16" t="str">
        <f>IF(ISBLANK(E206), "", F206 * VLOOKUP(E206, Estoque_Cadastro!$B$2:$C$100, 2, FALSE))</f>
        <v/>
      </c>
    </row>
    <row r="207" spans="1:7" ht="24.95" customHeight="1" x14ac:dyDescent="0.3">
      <c r="A207" s="14"/>
      <c r="B207" s="15" t="str">
        <f t="shared" si="3"/>
        <v/>
      </c>
      <c r="C207" s="15"/>
      <c r="D207" s="15"/>
      <c r="E207" s="15"/>
      <c r="F207" s="15"/>
      <c r="G207" s="16" t="str">
        <f>IF(ISBLANK(E207), "", F207 * VLOOKUP(E207, Estoque_Cadastro!$B$2:$C$100, 2, FALSE))</f>
        <v/>
      </c>
    </row>
    <row r="208" spans="1:7" ht="24.95" customHeight="1" x14ac:dyDescent="0.3">
      <c r="A208" s="14"/>
      <c r="B208" s="15" t="str">
        <f t="shared" si="3"/>
        <v/>
      </c>
      <c r="C208" s="15"/>
      <c r="D208" s="15"/>
      <c r="E208" s="15"/>
      <c r="F208" s="15"/>
      <c r="G208" s="16" t="str">
        <f>IF(ISBLANK(E208), "", F208 * VLOOKUP(E208, Estoque_Cadastro!$B$2:$C$100, 2, FALSE))</f>
        <v/>
      </c>
    </row>
    <row r="209" spans="1:7" ht="24.95" customHeight="1" x14ac:dyDescent="0.3">
      <c r="A209" s="14"/>
      <c r="B209" s="15" t="str">
        <f t="shared" si="3"/>
        <v/>
      </c>
      <c r="C209" s="15"/>
      <c r="D209" s="15"/>
      <c r="E209" s="15"/>
      <c r="F209" s="15"/>
      <c r="G209" s="16" t="str">
        <f>IF(ISBLANK(E209), "", F209 * VLOOKUP(E209, Estoque_Cadastro!$B$2:$C$100, 2, FALSE))</f>
        <v/>
      </c>
    </row>
    <row r="210" spans="1:7" ht="24.95" customHeight="1" x14ac:dyDescent="0.3">
      <c r="A210" s="14"/>
      <c r="B210" s="15" t="str">
        <f t="shared" si="3"/>
        <v/>
      </c>
      <c r="C210" s="15"/>
      <c r="D210" s="15"/>
      <c r="E210" s="15"/>
      <c r="F210" s="15"/>
      <c r="G210" s="16" t="str">
        <f>IF(ISBLANK(E210), "", F210 * VLOOKUP(E210, Estoque_Cadastro!$B$2:$C$100, 2, FALSE))</f>
        <v/>
      </c>
    </row>
    <row r="211" spans="1:7" ht="24.95" customHeight="1" x14ac:dyDescent="0.3">
      <c r="A211" s="14"/>
      <c r="B211" s="15" t="str">
        <f t="shared" si="3"/>
        <v/>
      </c>
      <c r="C211" s="15"/>
      <c r="D211" s="15"/>
      <c r="E211" s="15"/>
      <c r="F211" s="15"/>
      <c r="G211" s="16" t="str">
        <f>IF(ISBLANK(E211), "", F211 * VLOOKUP(E211, Estoque_Cadastro!$B$2:$C$100, 2, FALSE))</f>
        <v/>
      </c>
    </row>
    <row r="212" spans="1:7" ht="24.95" customHeight="1" x14ac:dyDescent="0.3">
      <c r="A212" s="14"/>
      <c r="B212" s="15" t="str">
        <f t="shared" si="3"/>
        <v/>
      </c>
      <c r="C212" s="15"/>
      <c r="D212" s="15"/>
      <c r="E212" s="15"/>
      <c r="F212" s="15"/>
      <c r="G212" s="16" t="str">
        <f>IF(ISBLANK(E212), "", F212 * VLOOKUP(E212, Estoque_Cadastro!$B$2:$C$100, 2, FALSE))</f>
        <v/>
      </c>
    </row>
    <row r="213" spans="1:7" ht="24.95" customHeight="1" x14ac:dyDescent="0.3">
      <c r="A213" s="14"/>
      <c r="B213" s="15" t="str">
        <f t="shared" si="3"/>
        <v/>
      </c>
      <c r="C213" s="15"/>
      <c r="D213" s="15"/>
      <c r="E213" s="15"/>
      <c r="F213" s="15"/>
      <c r="G213" s="16" t="str">
        <f>IF(ISBLANK(E213), "", F213 * VLOOKUP(E213, Estoque_Cadastro!$B$2:$C$100, 2, FALSE))</f>
        <v/>
      </c>
    </row>
    <row r="214" spans="1:7" ht="24.95" customHeight="1" x14ac:dyDescent="0.3">
      <c r="A214" s="14"/>
      <c r="B214" s="15" t="str">
        <f t="shared" si="3"/>
        <v/>
      </c>
      <c r="C214" s="15"/>
      <c r="D214" s="15"/>
      <c r="E214" s="15"/>
      <c r="F214" s="15"/>
      <c r="G214" s="16" t="str">
        <f>IF(ISBLANK(E214), "", F214 * VLOOKUP(E214, Estoque_Cadastro!$B$2:$C$100, 2, FALSE))</f>
        <v/>
      </c>
    </row>
    <row r="215" spans="1:7" ht="24.95" customHeight="1" x14ac:dyDescent="0.3">
      <c r="A215" s="14"/>
      <c r="B215" s="15" t="str">
        <f t="shared" si="3"/>
        <v/>
      </c>
      <c r="C215" s="15"/>
      <c r="D215" s="15"/>
      <c r="E215" s="15"/>
      <c r="F215" s="15"/>
      <c r="G215" s="16" t="str">
        <f>IF(ISBLANK(E215), "", F215 * VLOOKUP(E215, Estoque_Cadastro!$B$2:$C$100, 2, FALSE))</f>
        <v/>
      </c>
    </row>
    <row r="216" spans="1:7" ht="24.95" customHeight="1" x14ac:dyDescent="0.3">
      <c r="A216" s="14"/>
      <c r="B216" s="15" t="str">
        <f t="shared" si="3"/>
        <v/>
      </c>
      <c r="C216" s="15"/>
      <c r="D216" s="15"/>
      <c r="E216" s="15"/>
      <c r="F216" s="15"/>
      <c r="G216" s="16" t="str">
        <f>IF(ISBLANK(E216), "", F216 * VLOOKUP(E216, Estoque_Cadastro!$B$2:$C$100, 2, FALSE))</f>
        <v/>
      </c>
    </row>
    <row r="217" spans="1:7" ht="24.95" customHeight="1" x14ac:dyDescent="0.3">
      <c r="A217" s="14"/>
      <c r="B217" s="15" t="str">
        <f t="shared" si="3"/>
        <v/>
      </c>
      <c r="C217" s="15"/>
      <c r="D217" s="15"/>
      <c r="E217" s="15"/>
      <c r="F217" s="15"/>
      <c r="G217" s="16" t="str">
        <f>IF(ISBLANK(E217), "", F217 * VLOOKUP(E217, Estoque_Cadastro!$B$2:$C$100, 2, FALSE))</f>
        <v/>
      </c>
    </row>
    <row r="218" spans="1:7" ht="24.95" customHeight="1" x14ac:dyDescent="0.3">
      <c r="A218" s="14"/>
      <c r="B218" s="15" t="str">
        <f t="shared" si="3"/>
        <v/>
      </c>
      <c r="C218" s="15"/>
      <c r="D218" s="15"/>
      <c r="E218" s="15"/>
      <c r="F218" s="15"/>
      <c r="G218" s="16" t="str">
        <f>IF(ISBLANK(E218), "", F218 * VLOOKUP(E218, Estoque_Cadastro!$B$2:$C$100, 2, FALSE))</f>
        <v/>
      </c>
    </row>
    <row r="219" spans="1:7" ht="24.95" customHeight="1" x14ac:dyDescent="0.3">
      <c r="A219" s="14"/>
      <c r="B219" s="15" t="str">
        <f t="shared" si="3"/>
        <v/>
      </c>
      <c r="C219" s="15"/>
      <c r="D219" s="15"/>
      <c r="E219" s="15"/>
      <c r="F219" s="15"/>
      <c r="G219" s="16" t="str">
        <f>IF(ISBLANK(E219), "", F219 * VLOOKUP(E219, Estoque_Cadastro!$B$2:$C$100, 2, FALSE))</f>
        <v/>
      </c>
    </row>
    <row r="220" spans="1:7" ht="24.95" customHeight="1" x14ac:dyDescent="0.3">
      <c r="A220" s="14"/>
      <c r="B220" s="15" t="str">
        <f t="shared" si="3"/>
        <v/>
      </c>
      <c r="C220" s="15"/>
      <c r="D220" s="15"/>
      <c r="E220" s="15"/>
      <c r="F220" s="15"/>
      <c r="G220" s="16" t="str">
        <f>IF(ISBLANK(E220), "", F220 * VLOOKUP(E220, Estoque_Cadastro!$B$2:$C$100, 2, FALSE))</f>
        <v/>
      </c>
    </row>
    <row r="221" spans="1:7" ht="24.95" customHeight="1" x14ac:dyDescent="0.3">
      <c r="A221" s="14"/>
      <c r="B221" s="15" t="str">
        <f t="shared" si="3"/>
        <v/>
      </c>
      <c r="C221" s="15"/>
      <c r="D221" s="15"/>
      <c r="E221" s="15"/>
      <c r="F221" s="15"/>
      <c r="G221" s="16" t="str">
        <f>IF(ISBLANK(E221), "", F221 * VLOOKUP(E221, Estoque_Cadastro!$B$2:$C$100, 2, FALSE))</f>
        <v/>
      </c>
    </row>
    <row r="222" spans="1:7" ht="24.95" customHeight="1" x14ac:dyDescent="0.3">
      <c r="A222" s="14"/>
      <c r="B222" s="15" t="str">
        <f t="shared" si="3"/>
        <v/>
      </c>
      <c r="C222" s="15"/>
      <c r="D222" s="15"/>
      <c r="E222" s="15"/>
      <c r="F222" s="15"/>
      <c r="G222" s="16" t="str">
        <f>IF(ISBLANK(E222), "", F222 * VLOOKUP(E222, Estoque_Cadastro!$B$2:$C$100, 2, FALSE))</f>
        <v/>
      </c>
    </row>
    <row r="223" spans="1:7" ht="24.95" customHeight="1" x14ac:dyDescent="0.3">
      <c r="A223" s="14"/>
      <c r="B223" s="15" t="str">
        <f t="shared" si="3"/>
        <v/>
      </c>
      <c r="C223" s="15"/>
      <c r="D223" s="15"/>
      <c r="E223" s="15"/>
      <c r="F223" s="15"/>
      <c r="G223" s="16" t="str">
        <f>IF(ISBLANK(E223), "", F223 * VLOOKUP(E223, Estoque_Cadastro!$B$2:$C$100, 2, FALSE))</f>
        <v/>
      </c>
    </row>
    <row r="224" spans="1:7" ht="24.95" customHeight="1" x14ac:dyDescent="0.3">
      <c r="A224" s="14"/>
      <c r="B224" s="15" t="str">
        <f t="shared" si="3"/>
        <v/>
      </c>
      <c r="C224" s="15"/>
      <c r="D224" s="15"/>
      <c r="E224" s="15"/>
      <c r="F224" s="15"/>
      <c r="G224" s="16" t="str">
        <f>IF(ISBLANK(E224), "", F224 * VLOOKUP(E224, Estoque_Cadastro!$B$2:$C$100, 2, FALSE))</f>
        <v/>
      </c>
    </row>
    <row r="225" spans="1:7" ht="24.95" customHeight="1" x14ac:dyDescent="0.3">
      <c r="A225" s="14"/>
      <c r="B225" s="15" t="str">
        <f t="shared" si="3"/>
        <v/>
      </c>
      <c r="C225" s="15"/>
      <c r="D225" s="15"/>
      <c r="E225" s="15"/>
      <c r="F225" s="15"/>
      <c r="G225" s="16" t="str">
        <f>IF(ISBLANK(E225), "", F225 * VLOOKUP(E225, Estoque_Cadastro!$B$2:$C$100, 2, FALSE))</f>
        <v/>
      </c>
    </row>
    <row r="226" spans="1:7" ht="24.95" customHeight="1" x14ac:dyDescent="0.3">
      <c r="A226" s="14"/>
      <c r="B226" s="15" t="str">
        <f t="shared" si="3"/>
        <v/>
      </c>
      <c r="C226" s="15"/>
      <c r="D226" s="15"/>
      <c r="E226" s="15"/>
      <c r="F226" s="15"/>
      <c r="G226" s="16" t="str">
        <f>IF(ISBLANK(E226), "", F226 * VLOOKUP(E226, Estoque_Cadastro!$B$2:$C$100, 2, FALSE))</f>
        <v/>
      </c>
    </row>
    <row r="227" spans="1:7" ht="24.95" customHeight="1" x14ac:dyDescent="0.3">
      <c r="A227" s="14"/>
      <c r="B227" s="15" t="str">
        <f t="shared" si="3"/>
        <v/>
      </c>
      <c r="C227" s="15"/>
      <c r="D227" s="15"/>
      <c r="E227" s="15"/>
      <c r="F227" s="15"/>
      <c r="G227" s="16" t="str">
        <f>IF(ISBLANK(E227), "", F227 * VLOOKUP(E227, Estoque_Cadastro!$B$2:$C$100, 2, FALSE))</f>
        <v/>
      </c>
    </row>
    <row r="228" spans="1:7" ht="24.95" customHeight="1" x14ac:dyDescent="0.3">
      <c r="A228" s="14"/>
      <c r="B228" s="15" t="str">
        <f t="shared" si="3"/>
        <v/>
      </c>
      <c r="C228" s="15"/>
      <c r="D228" s="15"/>
      <c r="E228" s="15"/>
      <c r="F228" s="15"/>
      <c r="G228" s="16" t="str">
        <f>IF(ISBLANK(E228), "", F228 * VLOOKUP(E228, Estoque_Cadastro!$B$2:$C$100, 2, FALSE))</f>
        <v/>
      </c>
    </row>
    <row r="229" spans="1:7" ht="24.95" customHeight="1" x14ac:dyDescent="0.3">
      <c r="A229" s="14"/>
      <c r="B229" s="15" t="str">
        <f t="shared" si="3"/>
        <v/>
      </c>
      <c r="C229" s="15"/>
      <c r="D229" s="15"/>
      <c r="E229" s="15"/>
      <c r="F229" s="15"/>
      <c r="G229" s="16" t="str">
        <f>IF(ISBLANK(E229), "", F229 * VLOOKUP(E229, Estoque_Cadastro!$B$2:$C$100, 2, FALSE))</f>
        <v/>
      </c>
    </row>
    <row r="230" spans="1:7" ht="24.95" customHeight="1" x14ac:dyDescent="0.3">
      <c r="A230" s="14"/>
      <c r="B230" s="15" t="str">
        <f t="shared" si="3"/>
        <v/>
      </c>
      <c r="C230" s="15"/>
      <c r="D230" s="15"/>
      <c r="E230" s="15"/>
      <c r="F230" s="15"/>
      <c r="G230" s="16" t="str">
        <f>IF(ISBLANK(E230), "", F230 * VLOOKUP(E230, Estoque_Cadastro!$B$2:$C$100, 2, FALSE))</f>
        <v/>
      </c>
    </row>
    <row r="231" spans="1:7" ht="24.95" customHeight="1" x14ac:dyDescent="0.3">
      <c r="A231" s="14"/>
      <c r="B231" s="15" t="str">
        <f t="shared" si="3"/>
        <v/>
      </c>
      <c r="C231" s="15"/>
      <c r="D231" s="15"/>
      <c r="E231" s="15"/>
      <c r="F231" s="15"/>
      <c r="G231" s="16" t="str">
        <f>IF(ISBLANK(E231), "", F231 * VLOOKUP(E231, Estoque_Cadastro!$B$2:$C$100, 2, FALSE))</f>
        <v/>
      </c>
    </row>
    <row r="232" spans="1:7" ht="24.95" customHeight="1" x14ac:dyDescent="0.3">
      <c r="A232" s="14"/>
      <c r="B232" s="15" t="str">
        <f t="shared" si="3"/>
        <v/>
      </c>
      <c r="C232" s="15"/>
      <c r="D232" s="15"/>
      <c r="E232" s="15"/>
      <c r="F232" s="15"/>
      <c r="G232" s="16" t="str">
        <f>IF(ISBLANK(E232), "", F232 * VLOOKUP(E232, Estoque_Cadastro!$B$2:$C$100, 2, FALSE))</f>
        <v/>
      </c>
    </row>
    <row r="233" spans="1:7" ht="24.95" customHeight="1" x14ac:dyDescent="0.3">
      <c r="A233" s="14"/>
      <c r="B233" s="15" t="str">
        <f t="shared" si="3"/>
        <v/>
      </c>
      <c r="C233" s="15"/>
      <c r="D233" s="15"/>
      <c r="E233" s="15"/>
      <c r="F233" s="15"/>
      <c r="G233" s="16" t="str">
        <f>IF(ISBLANK(E233), "", F233 * VLOOKUP(E233, Estoque_Cadastro!$B$2:$C$100, 2, FALSE))</f>
        <v/>
      </c>
    </row>
    <row r="234" spans="1:7" ht="24.95" customHeight="1" x14ac:dyDescent="0.3">
      <c r="A234" s="14"/>
      <c r="B234" s="15" t="str">
        <f t="shared" si="3"/>
        <v/>
      </c>
      <c r="C234" s="15"/>
      <c r="D234" s="15"/>
      <c r="E234" s="15"/>
      <c r="F234" s="15"/>
      <c r="G234" s="16" t="str">
        <f>IF(ISBLANK(E234), "", F234 * VLOOKUP(E234, Estoque_Cadastro!$B$2:$C$100, 2, FALSE))</f>
        <v/>
      </c>
    </row>
    <row r="235" spans="1:7" ht="24.95" customHeight="1" x14ac:dyDescent="0.3">
      <c r="A235" s="14"/>
      <c r="B235" s="15" t="str">
        <f t="shared" si="3"/>
        <v/>
      </c>
      <c r="C235" s="15"/>
      <c r="D235" s="15"/>
      <c r="E235" s="15"/>
      <c r="F235" s="15"/>
      <c r="G235" s="16" t="str">
        <f>IF(ISBLANK(E235), "", F235 * VLOOKUP(E235, Estoque_Cadastro!$B$2:$C$100, 2, FALSE))</f>
        <v/>
      </c>
    </row>
    <row r="236" spans="1:7" ht="24.95" customHeight="1" x14ac:dyDescent="0.3">
      <c r="A236" s="14"/>
      <c r="B236" s="15" t="str">
        <f t="shared" si="3"/>
        <v/>
      </c>
      <c r="C236" s="15"/>
      <c r="D236" s="15"/>
      <c r="E236" s="15"/>
      <c r="F236" s="15"/>
      <c r="G236" s="16" t="str">
        <f>IF(ISBLANK(E236), "", F236 * VLOOKUP(E236, Estoque_Cadastro!$B$2:$C$100, 2, FALSE))</f>
        <v/>
      </c>
    </row>
    <row r="237" spans="1:7" ht="24.95" customHeight="1" x14ac:dyDescent="0.3">
      <c r="A237" s="14"/>
      <c r="B237" s="15" t="str">
        <f t="shared" si="3"/>
        <v/>
      </c>
      <c r="C237" s="15"/>
      <c r="D237" s="15"/>
      <c r="E237" s="15"/>
      <c r="F237" s="15"/>
      <c r="G237" s="16" t="str">
        <f>IF(ISBLANK(E237), "", F237 * VLOOKUP(E237, Estoque_Cadastro!$B$2:$C$100, 2, FALSE))</f>
        <v/>
      </c>
    </row>
    <row r="238" spans="1:7" ht="24.95" customHeight="1" x14ac:dyDescent="0.3">
      <c r="A238" s="14"/>
      <c r="B238" s="15" t="str">
        <f t="shared" si="3"/>
        <v/>
      </c>
      <c r="C238" s="15"/>
      <c r="D238" s="15"/>
      <c r="E238" s="15"/>
      <c r="F238" s="15"/>
      <c r="G238" s="16" t="str">
        <f>IF(ISBLANK(E238), "", F238 * VLOOKUP(E238, Estoque_Cadastro!$B$2:$C$100, 2, FALSE))</f>
        <v/>
      </c>
    </row>
    <row r="239" spans="1:7" ht="24.95" customHeight="1" x14ac:dyDescent="0.3">
      <c r="A239" s="14"/>
      <c r="B239" s="15" t="str">
        <f t="shared" si="3"/>
        <v/>
      </c>
      <c r="C239" s="15"/>
      <c r="D239" s="15"/>
      <c r="E239" s="15"/>
      <c r="F239" s="15"/>
      <c r="G239" s="16" t="str">
        <f>IF(ISBLANK(E239), "", F239 * VLOOKUP(E239, Estoque_Cadastro!$B$2:$C$100, 2, FALSE))</f>
        <v/>
      </c>
    </row>
    <row r="240" spans="1:7" ht="24.95" customHeight="1" x14ac:dyDescent="0.3">
      <c r="A240" s="14"/>
      <c r="B240" s="15" t="str">
        <f t="shared" si="3"/>
        <v/>
      </c>
      <c r="C240" s="15"/>
      <c r="D240" s="15"/>
      <c r="E240" s="15"/>
      <c r="F240" s="15"/>
      <c r="G240" s="16" t="str">
        <f>IF(ISBLANK(E240), "", F240 * VLOOKUP(E240, Estoque_Cadastro!$B$2:$C$100, 2, FALSE))</f>
        <v/>
      </c>
    </row>
    <row r="241" spans="1:7" ht="24.95" customHeight="1" x14ac:dyDescent="0.3">
      <c r="A241" s="14"/>
      <c r="B241" s="15" t="str">
        <f t="shared" si="3"/>
        <v/>
      </c>
      <c r="C241" s="15"/>
      <c r="D241" s="15"/>
      <c r="E241" s="15"/>
      <c r="F241" s="15"/>
      <c r="G241" s="16" t="str">
        <f>IF(ISBLANK(E241), "", F241 * VLOOKUP(E241, Estoque_Cadastro!$B$2:$C$100, 2, FALSE))</f>
        <v/>
      </c>
    </row>
    <row r="242" spans="1:7" ht="24.95" customHeight="1" x14ac:dyDescent="0.3">
      <c r="A242" s="14"/>
      <c r="B242" s="15" t="str">
        <f t="shared" si="3"/>
        <v/>
      </c>
      <c r="C242" s="15"/>
      <c r="D242" s="15"/>
      <c r="E242" s="15"/>
      <c r="F242" s="15"/>
      <c r="G242" s="16" t="str">
        <f>IF(ISBLANK(E242), "", F242 * VLOOKUP(E242, Estoque_Cadastro!$B$2:$C$100, 2, FALSE))</f>
        <v/>
      </c>
    </row>
    <row r="243" spans="1:7" ht="24.95" customHeight="1" x14ac:dyDescent="0.3">
      <c r="A243" s="14"/>
      <c r="B243" s="15" t="str">
        <f t="shared" si="3"/>
        <v/>
      </c>
      <c r="C243" s="15"/>
      <c r="D243" s="15"/>
      <c r="E243" s="15"/>
      <c r="F243" s="15"/>
      <c r="G243" s="16" t="str">
        <f>IF(ISBLANK(E243), "", F243 * VLOOKUP(E243, Estoque_Cadastro!$B$2:$C$100, 2, FALSE))</f>
        <v/>
      </c>
    </row>
    <row r="244" spans="1:7" ht="24.95" customHeight="1" x14ac:dyDescent="0.3">
      <c r="A244" s="14"/>
      <c r="B244" s="15" t="str">
        <f t="shared" si="3"/>
        <v/>
      </c>
      <c r="C244" s="15"/>
      <c r="D244" s="15"/>
      <c r="E244" s="15"/>
      <c r="F244" s="15"/>
      <c r="G244" s="16" t="str">
        <f>IF(ISBLANK(E244), "", F244 * VLOOKUP(E244, Estoque_Cadastro!$B$2:$C$100, 2, FALSE))</f>
        <v/>
      </c>
    </row>
    <row r="245" spans="1:7" ht="24.95" customHeight="1" x14ac:dyDescent="0.3">
      <c r="A245" s="14"/>
      <c r="B245" s="15" t="str">
        <f t="shared" si="3"/>
        <v/>
      </c>
      <c r="C245" s="15"/>
      <c r="D245" s="15"/>
      <c r="E245" s="15"/>
      <c r="F245" s="15"/>
      <c r="G245" s="16" t="str">
        <f>IF(ISBLANK(E245), "", F245 * VLOOKUP(E245, Estoque_Cadastro!$B$2:$C$100, 2, FALSE))</f>
        <v/>
      </c>
    </row>
    <row r="246" spans="1:7" ht="24.95" customHeight="1" x14ac:dyDescent="0.3">
      <c r="A246" s="14"/>
      <c r="B246" s="15" t="str">
        <f t="shared" si="3"/>
        <v/>
      </c>
      <c r="C246" s="15"/>
      <c r="D246" s="15"/>
      <c r="E246" s="15"/>
      <c r="F246" s="15"/>
      <c r="G246" s="16" t="str">
        <f>IF(ISBLANK(E246), "", F246 * VLOOKUP(E246, Estoque_Cadastro!$B$2:$C$100, 2, FALSE))</f>
        <v/>
      </c>
    </row>
    <row r="247" spans="1:7" ht="24.95" customHeight="1" x14ac:dyDescent="0.3">
      <c r="A247" s="14"/>
      <c r="B247" s="15" t="str">
        <f t="shared" si="3"/>
        <v/>
      </c>
      <c r="C247" s="15"/>
      <c r="D247" s="15"/>
      <c r="E247" s="15"/>
      <c r="F247" s="15"/>
      <c r="G247" s="16" t="str">
        <f>IF(ISBLANK(E247), "", F247 * VLOOKUP(E247, Estoque_Cadastro!$B$2:$C$100, 2, FALSE))</f>
        <v/>
      </c>
    </row>
    <row r="248" spans="1:7" ht="24.95" customHeight="1" x14ac:dyDescent="0.3">
      <c r="A248" s="14"/>
      <c r="B248" s="15" t="str">
        <f t="shared" si="3"/>
        <v/>
      </c>
      <c r="C248" s="15"/>
      <c r="D248" s="15"/>
      <c r="E248" s="15"/>
      <c r="F248" s="15"/>
      <c r="G248" s="16" t="str">
        <f>IF(ISBLANK(E248), "", F248 * VLOOKUP(E248, Estoque_Cadastro!$B$2:$C$100, 2, FALSE))</f>
        <v/>
      </c>
    </row>
    <row r="249" spans="1:7" ht="24.95" customHeight="1" x14ac:dyDescent="0.3">
      <c r="A249" s="14"/>
      <c r="B249" s="15" t="str">
        <f t="shared" si="3"/>
        <v/>
      </c>
      <c r="C249" s="15"/>
      <c r="D249" s="15"/>
      <c r="E249" s="15"/>
      <c r="F249" s="15"/>
      <c r="G249" s="16" t="str">
        <f>IF(ISBLANK(E249), "", F249 * VLOOKUP(E249, Estoque_Cadastro!$B$2:$C$100, 2, FALSE))</f>
        <v/>
      </c>
    </row>
    <row r="250" spans="1:7" ht="24.95" customHeight="1" x14ac:dyDescent="0.3">
      <c r="A250" s="14"/>
      <c r="B250" s="15" t="str">
        <f t="shared" si="3"/>
        <v/>
      </c>
      <c r="C250" s="15"/>
      <c r="D250" s="15"/>
      <c r="E250" s="15"/>
      <c r="F250" s="15"/>
      <c r="G250" s="16" t="str">
        <f>IF(ISBLANK(E250), "", F250 * VLOOKUP(E250, Estoque_Cadastro!$B$2:$C$100, 2, FALSE))</f>
        <v/>
      </c>
    </row>
    <row r="251" spans="1:7" ht="24.95" customHeight="1" x14ac:dyDescent="0.3">
      <c r="A251" s="14"/>
      <c r="B251" s="15" t="str">
        <f t="shared" si="3"/>
        <v/>
      </c>
      <c r="C251" s="15"/>
      <c r="D251" s="15"/>
      <c r="E251" s="15"/>
      <c r="F251" s="15"/>
      <c r="G251" s="16" t="str">
        <f>IF(ISBLANK(E251), "", F251 * VLOOKUP(E251, Estoque_Cadastro!$B$2:$C$100, 2, FALSE))</f>
        <v/>
      </c>
    </row>
    <row r="252" spans="1:7" ht="24.95" customHeight="1" x14ac:dyDescent="0.3">
      <c r="A252" s="14"/>
      <c r="B252" s="15" t="str">
        <f t="shared" si="3"/>
        <v/>
      </c>
      <c r="C252" s="15"/>
      <c r="D252" s="15"/>
      <c r="E252" s="15"/>
      <c r="F252" s="15"/>
      <c r="G252" s="16" t="str">
        <f>IF(ISBLANK(E252), "", F252 * VLOOKUP(E252, Estoque_Cadastro!$B$2:$C$100, 2, FALSE))</f>
        <v/>
      </c>
    </row>
    <row r="253" spans="1:7" ht="24.95" customHeight="1" x14ac:dyDescent="0.3">
      <c r="A253" s="14"/>
      <c r="B253" s="15" t="str">
        <f t="shared" si="3"/>
        <v/>
      </c>
      <c r="C253" s="15"/>
      <c r="D253" s="15"/>
      <c r="E253" s="15"/>
      <c r="F253" s="15"/>
      <c r="G253" s="16" t="str">
        <f>IF(ISBLANK(E253), "", F253 * VLOOKUP(E253, Estoque_Cadastro!$B$2:$C$100, 2, FALSE))</f>
        <v/>
      </c>
    </row>
    <row r="254" spans="1:7" ht="24.95" customHeight="1" x14ac:dyDescent="0.3">
      <c r="A254" s="14"/>
      <c r="B254" s="15" t="str">
        <f t="shared" si="3"/>
        <v/>
      </c>
      <c r="C254" s="15"/>
      <c r="D254" s="15"/>
      <c r="E254" s="15"/>
      <c r="F254" s="15"/>
      <c r="G254" s="16" t="str">
        <f>IF(ISBLANK(E254), "", F254 * VLOOKUP(E254, Estoque_Cadastro!$B$2:$C$100, 2, FALSE))</f>
        <v/>
      </c>
    </row>
    <row r="255" spans="1:7" ht="24.95" customHeight="1" x14ac:dyDescent="0.3">
      <c r="A255" s="14"/>
      <c r="B255" s="15" t="str">
        <f t="shared" si="3"/>
        <v/>
      </c>
      <c r="C255" s="15"/>
      <c r="D255" s="15"/>
      <c r="E255" s="15"/>
      <c r="F255" s="15"/>
      <c r="G255" s="16" t="str">
        <f>IF(ISBLANK(E255), "", F255 * VLOOKUP(E255, Estoque_Cadastro!$B$2:$C$100, 2, FALSE))</f>
        <v/>
      </c>
    </row>
    <row r="256" spans="1:7" ht="24.95" customHeight="1" x14ac:dyDescent="0.3">
      <c r="A256" s="14"/>
      <c r="B256" s="15" t="str">
        <f t="shared" si="3"/>
        <v/>
      </c>
      <c r="C256" s="15"/>
      <c r="D256" s="15"/>
      <c r="E256" s="15"/>
      <c r="F256" s="15"/>
      <c r="G256" s="16" t="str">
        <f>IF(ISBLANK(E256), "", F256 * VLOOKUP(E256, Estoque_Cadastro!$B$2:$C$100, 2, FALSE))</f>
        <v/>
      </c>
    </row>
    <row r="257" spans="1:7" ht="24.95" customHeight="1" x14ac:dyDescent="0.3">
      <c r="A257" s="14"/>
      <c r="B257" s="15" t="str">
        <f t="shared" si="3"/>
        <v/>
      </c>
      <c r="C257" s="15"/>
      <c r="D257" s="15"/>
      <c r="E257" s="15"/>
      <c r="F257" s="15"/>
      <c r="G257" s="16" t="str">
        <f>IF(ISBLANK(E257), "", F257 * VLOOKUP(E257, Estoque_Cadastro!$B$2:$C$100, 2, FALSE))</f>
        <v/>
      </c>
    </row>
    <row r="258" spans="1:7" ht="24.95" customHeight="1" x14ac:dyDescent="0.3">
      <c r="A258" s="14"/>
      <c r="B258" s="15" t="str">
        <f t="shared" ref="B258:B321" si="4">IF(A258="","", MONTH(A258))</f>
        <v/>
      </c>
      <c r="C258" s="15"/>
      <c r="D258" s="15"/>
      <c r="E258" s="15"/>
      <c r="F258" s="15"/>
      <c r="G258" s="16" t="str">
        <f>IF(ISBLANK(E258), "", F258 * VLOOKUP(E258, Estoque_Cadastro!$B$2:$C$100, 2, FALSE))</f>
        <v/>
      </c>
    </row>
    <row r="259" spans="1:7" ht="24.95" customHeight="1" x14ac:dyDescent="0.3">
      <c r="A259" s="14"/>
      <c r="B259" s="15" t="str">
        <f t="shared" si="4"/>
        <v/>
      </c>
      <c r="C259" s="15"/>
      <c r="D259" s="15"/>
      <c r="E259" s="15"/>
      <c r="F259" s="15"/>
      <c r="G259" s="16" t="str">
        <f>IF(ISBLANK(E259), "", F259 * VLOOKUP(E259, Estoque_Cadastro!$B$2:$C$100, 2, FALSE))</f>
        <v/>
      </c>
    </row>
    <row r="260" spans="1:7" ht="24.95" customHeight="1" x14ac:dyDescent="0.3">
      <c r="A260" s="14"/>
      <c r="B260" s="15" t="str">
        <f t="shared" si="4"/>
        <v/>
      </c>
      <c r="C260" s="15"/>
      <c r="D260" s="15"/>
      <c r="E260" s="15"/>
      <c r="F260" s="15"/>
      <c r="G260" s="16" t="str">
        <f>IF(ISBLANK(E260), "", F260 * VLOOKUP(E260, Estoque_Cadastro!$B$2:$C$100, 2, FALSE))</f>
        <v/>
      </c>
    </row>
    <row r="261" spans="1:7" ht="24.95" customHeight="1" x14ac:dyDescent="0.3">
      <c r="A261" s="14"/>
      <c r="B261" s="15" t="str">
        <f t="shared" si="4"/>
        <v/>
      </c>
      <c r="C261" s="15"/>
      <c r="D261" s="15"/>
      <c r="E261" s="15"/>
      <c r="F261" s="15"/>
      <c r="G261" s="16" t="str">
        <f>IF(ISBLANK(E261), "", F261 * VLOOKUP(E261, Estoque_Cadastro!$B$2:$C$100, 2, FALSE))</f>
        <v/>
      </c>
    </row>
    <row r="262" spans="1:7" ht="24.95" customHeight="1" x14ac:dyDescent="0.3">
      <c r="A262" s="14"/>
      <c r="B262" s="15" t="str">
        <f t="shared" si="4"/>
        <v/>
      </c>
      <c r="C262" s="15"/>
      <c r="D262" s="15"/>
      <c r="E262" s="15"/>
      <c r="F262" s="15"/>
      <c r="G262" s="16" t="str">
        <f>IF(ISBLANK(E262), "", F262 * VLOOKUP(E262, Estoque_Cadastro!$B$2:$C$100, 2, FALSE))</f>
        <v/>
      </c>
    </row>
    <row r="263" spans="1:7" ht="24.95" customHeight="1" x14ac:dyDescent="0.3">
      <c r="A263" s="14"/>
      <c r="B263" s="15" t="str">
        <f t="shared" si="4"/>
        <v/>
      </c>
      <c r="C263" s="15"/>
      <c r="D263" s="15"/>
      <c r="E263" s="15"/>
      <c r="F263" s="15"/>
      <c r="G263" s="16" t="str">
        <f>IF(ISBLANK(E263), "", F263 * VLOOKUP(E263, Estoque_Cadastro!$B$2:$C$100, 2, FALSE))</f>
        <v/>
      </c>
    </row>
    <row r="264" spans="1:7" ht="24.95" customHeight="1" x14ac:dyDescent="0.3">
      <c r="A264" s="14"/>
      <c r="B264" s="15" t="str">
        <f t="shared" si="4"/>
        <v/>
      </c>
      <c r="C264" s="15"/>
      <c r="D264" s="15"/>
      <c r="E264" s="15"/>
      <c r="F264" s="15"/>
      <c r="G264" s="16" t="str">
        <f>IF(ISBLANK(E264), "", F264 * VLOOKUP(E264, Estoque_Cadastro!$B$2:$C$100, 2, FALSE))</f>
        <v/>
      </c>
    </row>
    <row r="265" spans="1:7" ht="24.95" customHeight="1" x14ac:dyDescent="0.3">
      <c r="A265" s="14"/>
      <c r="B265" s="15" t="str">
        <f t="shared" si="4"/>
        <v/>
      </c>
      <c r="C265" s="15"/>
      <c r="D265" s="15"/>
      <c r="E265" s="15"/>
      <c r="F265" s="15"/>
      <c r="G265" s="16" t="str">
        <f>IF(ISBLANK(E265), "", F265 * VLOOKUP(E265, Estoque_Cadastro!$B$2:$C$100, 2, FALSE))</f>
        <v/>
      </c>
    </row>
    <row r="266" spans="1:7" ht="24.95" customHeight="1" x14ac:dyDescent="0.3">
      <c r="A266" s="14"/>
      <c r="B266" s="15" t="str">
        <f t="shared" si="4"/>
        <v/>
      </c>
      <c r="C266" s="15"/>
      <c r="D266" s="15"/>
      <c r="E266" s="15"/>
      <c r="F266" s="15"/>
      <c r="G266" s="16" t="str">
        <f>IF(ISBLANK(E266), "", F266 * VLOOKUP(E266, Estoque_Cadastro!$B$2:$C$100, 2, FALSE))</f>
        <v/>
      </c>
    </row>
    <row r="267" spans="1:7" ht="24.95" customHeight="1" x14ac:dyDescent="0.3">
      <c r="A267" s="14"/>
      <c r="B267" s="15" t="str">
        <f t="shared" si="4"/>
        <v/>
      </c>
      <c r="C267" s="15"/>
      <c r="D267" s="15"/>
      <c r="E267" s="15"/>
      <c r="F267" s="15"/>
      <c r="G267" s="16" t="str">
        <f>IF(ISBLANK(E267), "", F267 * VLOOKUP(E267, Estoque_Cadastro!$B$2:$C$100, 2, FALSE))</f>
        <v/>
      </c>
    </row>
    <row r="268" spans="1:7" ht="24.95" customHeight="1" x14ac:dyDescent="0.3">
      <c r="A268" s="14"/>
      <c r="B268" s="15" t="str">
        <f t="shared" si="4"/>
        <v/>
      </c>
      <c r="C268" s="15"/>
      <c r="D268" s="15"/>
      <c r="E268" s="15"/>
      <c r="F268" s="15"/>
      <c r="G268" s="16" t="str">
        <f>IF(ISBLANK(E268), "", F268 * VLOOKUP(E268, Estoque_Cadastro!$B$2:$C$100, 2, FALSE))</f>
        <v/>
      </c>
    </row>
    <row r="269" spans="1:7" ht="24.95" customHeight="1" x14ac:dyDescent="0.3">
      <c r="A269" s="14"/>
      <c r="B269" s="15" t="str">
        <f t="shared" si="4"/>
        <v/>
      </c>
      <c r="C269" s="15"/>
      <c r="D269" s="15"/>
      <c r="E269" s="15"/>
      <c r="F269" s="15"/>
      <c r="G269" s="16" t="str">
        <f>IF(ISBLANK(E269), "", F269 * VLOOKUP(E269, Estoque_Cadastro!$B$2:$C$100, 2, FALSE))</f>
        <v/>
      </c>
    </row>
    <row r="270" spans="1:7" ht="24.95" customHeight="1" x14ac:dyDescent="0.3">
      <c r="A270" s="14"/>
      <c r="B270" s="15" t="str">
        <f t="shared" si="4"/>
        <v/>
      </c>
      <c r="C270" s="15"/>
      <c r="D270" s="15"/>
      <c r="E270" s="15"/>
      <c r="F270" s="15"/>
      <c r="G270" s="16" t="str">
        <f>IF(ISBLANK(E270), "", F270 * VLOOKUP(E270, Estoque_Cadastro!$B$2:$C$100, 2, FALSE))</f>
        <v/>
      </c>
    </row>
    <row r="271" spans="1:7" ht="24.95" customHeight="1" x14ac:dyDescent="0.3">
      <c r="A271" s="14"/>
      <c r="B271" s="15" t="str">
        <f t="shared" si="4"/>
        <v/>
      </c>
      <c r="C271" s="15"/>
      <c r="D271" s="15"/>
      <c r="E271" s="15"/>
      <c r="F271" s="15"/>
      <c r="G271" s="16" t="str">
        <f>IF(ISBLANK(E271), "", F271 * VLOOKUP(E271, Estoque_Cadastro!$B$2:$C$100, 2, FALSE))</f>
        <v/>
      </c>
    </row>
    <row r="272" spans="1:7" ht="24.95" customHeight="1" x14ac:dyDescent="0.3">
      <c r="A272" s="14"/>
      <c r="B272" s="15" t="str">
        <f t="shared" si="4"/>
        <v/>
      </c>
      <c r="C272" s="15"/>
      <c r="D272" s="15"/>
      <c r="E272" s="15"/>
      <c r="F272" s="15"/>
      <c r="G272" s="16" t="str">
        <f>IF(ISBLANK(E272), "", F272 * VLOOKUP(E272, Estoque_Cadastro!$B$2:$C$100, 2, FALSE))</f>
        <v/>
      </c>
    </row>
    <row r="273" spans="1:7" ht="24.95" customHeight="1" x14ac:dyDescent="0.3">
      <c r="A273" s="14"/>
      <c r="B273" s="15" t="str">
        <f t="shared" si="4"/>
        <v/>
      </c>
      <c r="C273" s="15"/>
      <c r="D273" s="15"/>
      <c r="E273" s="15"/>
      <c r="F273" s="15"/>
      <c r="G273" s="16" t="str">
        <f>IF(ISBLANK(E273), "", F273 * VLOOKUP(E273, Estoque_Cadastro!$B$2:$C$100, 2, FALSE))</f>
        <v/>
      </c>
    </row>
    <row r="274" spans="1:7" ht="24.95" customHeight="1" x14ac:dyDescent="0.3">
      <c r="A274" s="14"/>
      <c r="B274" s="15" t="str">
        <f t="shared" si="4"/>
        <v/>
      </c>
      <c r="C274" s="15"/>
      <c r="D274" s="15"/>
      <c r="E274" s="15"/>
      <c r="F274" s="15"/>
      <c r="G274" s="16" t="str">
        <f>IF(ISBLANK(E274), "", F274 * VLOOKUP(E274, Estoque_Cadastro!$B$2:$C$100, 2, FALSE))</f>
        <v/>
      </c>
    </row>
    <row r="275" spans="1:7" ht="24.95" customHeight="1" x14ac:dyDescent="0.3">
      <c r="A275" s="14"/>
      <c r="B275" s="15" t="str">
        <f t="shared" si="4"/>
        <v/>
      </c>
      <c r="C275" s="15"/>
      <c r="D275" s="15"/>
      <c r="E275" s="15"/>
      <c r="F275" s="15"/>
      <c r="G275" s="16" t="str">
        <f>IF(ISBLANK(E275), "", F275 * VLOOKUP(E275, Estoque_Cadastro!$B$2:$C$100, 2, FALSE))</f>
        <v/>
      </c>
    </row>
    <row r="276" spans="1:7" ht="24.95" customHeight="1" x14ac:dyDescent="0.3">
      <c r="A276" s="14"/>
      <c r="B276" s="15" t="str">
        <f t="shared" si="4"/>
        <v/>
      </c>
      <c r="C276" s="15"/>
      <c r="D276" s="15"/>
      <c r="E276" s="15"/>
      <c r="F276" s="15"/>
      <c r="G276" s="16" t="str">
        <f>IF(ISBLANK(E276), "", F276 * VLOOKUP(E276, Estoque_Cadastro!$B$2:$C$100, 2, FALSE))</f>
        <v/>
      </c>
    </row>
    <row r="277" spans="1:7" ht="24.95" customHeight="1" x14ac:dyDescent="0.3">
      <c r="A277" s="14"/>
      <c r="B277" s="15" t="str">
        <f t="shared" si="4"/>
        <v/>
      </c>
      <c r="C277" s="15"/>
      <c r="D277" s="15"/>
      <c r="E277" s="15"/>
      <c r="F277" s="15"/>
      <c r="G277" s="16" t="str">
        <f>IF(ISBLANK(E277), "", F277 * VLOOKUP(E277, Estoque_Cadastro!$B$2:$C$100, 2, FALSE))</f>
        <v/>
      </c>
    </row>
    <row r="278" spans="1:7" ht="24.95" customHeight="1" x14ac:dyDescent="0.3">
      <c r="A278" s="14"/>
      <c r="B278" s="15" t="str">
        <f t="shared" si="4"/>
        <v/>
      </c>
      <c r="C278" s="15"/>
      <c r="D278" s="15"/>
      <c r="E278" s="15"/>
      <c r="F278" s="15"/>
      <c r="G278" s="16" t="str">
        <f>IF(ISBLANK(E278), "", F278 * VLOOKUP(E278, Estoque_Cadastro!$B$2:$C$100, 2, FALSE))</f>
        <v/>
      </c>
    </row>
    <row r="279" spans="1:7" ht="24.95" customHeight="1" x14ac:dyDescent="0.3">
      <c r="A279" s="14"/>
      <c r="B279" s="15" t="str">
        <f t="shared" si="4"/>
        <v/>
      </c>
      <c r="C279" s="15"/>
      <c r="D279" s="15"/>
      <c r="E279" s="15"/>
      <c r="F279" s="15"/>
      <c r="G279" s="16" t="str">
        <f>IF(ISBLANK(E279), "", F279 * VLOOKUP(E279, Estoque_Cadastro!$B$2:$C$100, 2, FALSE))</f>
        <v/>
      </c>
    </row>
    <row r="280" spans="1:7" ht="24.95" customHeight="1" x14ac:dyDescent="0.3">
      <c r="A280" s="14"/>
      <c r="B280" s="15" t="str">
        <f t="shared" si="4"/>
        <v/>
      </c>
      <c r="C280" s="15"/>
      <c r="D280" s="15"/>
      <c r="E280" s="15"/>
      <c r="F280" s="15"/>
      <c r="G280" s="16" t="str">
        <f>IF(ISBLANK(E280), "", F280 * VLOOKUP(E280, Estoque_Cadastro!$B$2:$C$100, 2, FALSE))</f>
        <v/>
      </c>
    </row>
    <row r="281" spans="1:7" ht="24.95" customHeight="1" x14ac:dyDescent="0.3">
      <c r="A281" s="14"/>
      <c r="B281" s="15" t="str">
        <f t="shared" si="4"/>
        <v/>
      </c>
      <c r="C281" s="15"/>
      <c r="D281" s="15"/>
      <c r="E281" s="15"/>
      <c r="F281" s="15"/>
      <c r="G281" s="16" t="str">
        <f>IF(ISBLANK(E281), "", F281 * VLOOKUP(E281, Estoque_Cadastro!$B$2:$C$100, 2, FALSE))</f>
        <v/>
      </c>
    </row>
    <row r="282" spans="1:7" ht="24.95" customHeight="1" x14ac:dyDescent="0.3">
      <c r="A282" s="14"/>
      <c r="B282" s="15" t="str">
        <f t="shared" si="4"/>
        <v/>
      </c>
      <c r="C282" s="15"/>
      <c r="D282" s="15"/>
      <c r="E282" s="15"/>
      <c r="F282" s="15"/>
      <c r="G282" s="16" t="str">
        <f>IF(ISBLANK(E282), "", F282 * VLOOKUP(E282, Estoque_Cadastro!$B$2:$C$100, 2, FALSE))</f>
        <v/>
      </c>
    </row>
    <row r="283" spans="1:7" ht="24.95" customHeight="1" x14ac:dyDescent="0.3">
      <c r="A283" s="14"/>
      <c r="B283" s="15" t="str">
        <f t="shared" si="4"/>
        <v/>
      </c>
      <c r="C283" s="15"/>
      <c r="D283" s="15"/>
      <c r="E283" s="15"/>
      <c r="F283" s="15"/>
      <c r="G283" s="16" t="str">
        <f>IF(ISBLANK(E283), "", F283 * VLOOKUP(E283, Estoque_Cadastro!$B$2:$C$100, 2, FALSE))</f>
        <v/>
      </c>
    </row>
    <row r="284" spans="1:7" ht="24.95" customHeight="1" x14ac:dyDescent="0.3">
      <c r="A284" s="14"/>
      <c r="B284" s="15" t="str">
        <f t="shared" si="4"/>
        <v/>
      </c>
      <c r="C284" s="15"/>
      <c r="D284" s="15"/>
      <c r="E284" s="15"/>
      <c r="F284" s="15"/>
      <c r="G284" s="16" t="str">
        <f>IF(ISBLANK(E284), "", F284 * VLOOKUP(E284, Estoque_Cadastro!$B$2:$C$100, 2, FALSE))</f>
        <v/>
      </c>
    </row>
    <row r="285" spans="1:7" ht="24.95" customHeight="1" x14ac:dyDescent="0.3">
      <c r="A285" s="14"/>
      <c r="B285" s="15" t="str">
        <f t="shared" si="4"/>
        <v/>
      </c>
      <c r="C285" s="15"/>
      <c r="D285" s="15"/>
      <c r="E285" s="15"/>
      <c r="F285" s="15"/>
      <c r="G285" s="16" t="str">
        <f>IF(ISBLANK(E285), "", F285 * VLOOKUP(E285, Estoque_Cadastro!$B$2:$C$100, 2, FALSE))</f>
        <v/>
      </c>
    </row>
    <row r="286" spans="1:7" ht="24.95" customHeight="1" x14ac:dyDescent="0.3">
      <c r="A286" s="14"/>
      <c r="B286" s="15" t="str">
        <f t="shared" si="4"/>
        <v/>
      </c>
      <c r="C286" s="15"/>
      <c r="D286" s="15"/>
      <c r="E286" s="15"/>
      <c r="F286" s="15"/>
      <c r="G286" s="16" t="str">
        <f>IF(ISBLANK(E286), "", F286 * VLOOKUP(E286, Estoque_Cadastro!$B$2:$C$100, 2, FALSE))</f>
        <v/>
      </c>
    </row>
    <row r="287" spans="1:7" ht="24.95" customHeight="1" x14ac:dyDescent="0.3">
      <c r="A287" s="14"/>
      <c r="B287" s="15" t="str">
        <f t="shared" si="4"/>
        <v/>
      </c>
      <c r="C287" s="15"/>
      <c r="D287" s="15"/>
      <c r="E287" s="15"/>
      <c r="F287" s="15"/>
      <c r="G287" s="16" t="str">
        <f>IF(ISBLANK(E287), "", F287 * VLOOKUP(E287, Estoque_Cadastro!$B$2:$C$100, 2, FALSE))</f>
        <v/>
      </c>
    </row>
    <row r="288" spans="1:7" ht="24.95" customHeight="1" x14ac:dyDescent="0.3">
      <c r="A288" s="14"/>
      <c r="B288" s="15" t="str">
        <f t="shared" si="4"/>
        <v/>
      </c>
      <c r="C288" s="15"/>
      <c r="D288" s="15"/>
      <c r="E288" s="15"/>
      <c r="F288" s="15"/>
      <c r="G288" s="16" t="str">
        <f>IF(ISBLANK(E288), "", F288 * VLOOKUP(E288, Estoque_Cadastro!$B$2:$C$100, 2, FALSE))</f>
        <v/>
      </c>
    </row>
    <row r="289" spans="1:7" ht="24.95" customHeight="1" x14ac:dyDescent="0.3">
      <c r="A289" s="14"/>
      <c r="B289" s="15" t="str">
        <f t="shared" si="4"/>
        <v/>
      </c>
      <c r="C289" s="15"/>
      <c r="D289" s="15"/>
      <c r="E289" s="15"/>
      <c r="F289" s="15"/>
      <c r="G289" s="16" t="str">
        <f>IF(ISBLANK(E289), "", F289 * VLOOKUP(E289, Estoque_Cadastro!$B$2:$C$100, 2, FALSE))</f>
        <v/>
      </c>
    </row>
    <row r="290" spans="1:7" ht="24.95" customHeight="1" x14ac:dyDescent="0.3">
      <c r="A290" s="14"/>
      <c r="B290" s="15" t="str">
        <f t="shared" si="4"/>
        <v/>
      </c>
      <c r="C290" s="15"/>
      <c r="D290" s="15"/>
      <c r="E290" s="15"/>
      <c r="F290" s="15"/>
      <c r="G290" s="16" t="str">
        <f>IF(ISBLANK(E290), "", F290 * VLOOKUP(E290, Estoque_Cadastro!$B$2:$C$100, 2, FALSE))</f>
        <v/>
      </c>
    </row>
    <row r="291" spans="1:7" ht="24.95" customHeight="1" x14ac:dyDescent="0.3">
      <c r="A291" s="14"/>
      <c r="B291" s="15" t="str">
        <f t="shared" si="4"/>
        <v/>
      </c>
      <c r="C291" s="15"/>
      <c r="D291" s="15"/>
      <c r="E291" s="15"/>
      <c r="F291" s="15"/>
      <c r="G291" s="16" t="str">
        <f>IF(ISBLANK(E291), "", F291 * VLOOKUP(E291, Estoque_Cadastro!$B$2:$C$100, 2, FALSE))</f>
        <v/>
      </c>
    </row>
    <row r="292" spans="1:7" ht="24.95" customHeight="1" x14ac:dyDescent="0.3">
      <c r="A292" s="14"/>
      <c r="B292" s="15" t="str">
        <f t="shared" si="4"/>
        <v/>
      </c>
      <c r="C292" s="15"/>
      <c r="D292" s="15"/>
      <c r="E292" s="15"/>
      <c r="F292" s="15"/>
      <c r="G292" s="16" t="str">
        <f>IF(ISBLANK(E292), "", F292 * VLOOKUP(E292, Estoque_Cadastro!$B$2:$C$100, 2, FALSE))</f>
        <v/>
      </c>
    </row>
    <row r="293" spans="1:7" ht="24.95" customHeight="1" x14ac:dyDescent="0.3">
      <c r="A293" s="14"/>
      <c r="B293" s="15" t="str">
        <f t="shared" si="4"/>
        <v/>
      </c>
      <c r="C293" s="15"/>
      <c r="D293" s="15"/>
      <c r="E293" s="15"/>
      <c r="F293" s="15"/>
      <c r="G293" s="16" t="str">
        <f>IF(ISBLANK(E293), "", F293 * VLOOKUP(E293, Estoque_Cadastro!$B$2:$C$100, 2, FALSE))</f>
        <v/>
      </c>
    </row>
    <row r="294" spans="1:7" ht="24.95" customHeight="1" x14ac:dyDescent="0.3">
      <c r="A294" s="14"/>
      <c r="B294" s="15" t="str">
        <f t="shared" si="4"/>
        <v/>
      </c>
      <c r="C294" s="15"/>
      <c r="D294" s="15"/>
      <c r="E294" s="15"/>
      <c r="F294" s="15"/>
      <c r="G294" s="16" t="str">
        <f>IF(ISBLANK(E294), "", F294 * VLOOKUP(E294, Estoque_Cadastro!$B$2:$C$100, 2, FALSE))</f>
        <v/>
      </c>
    </row>
    <row r="295" spans="1:7" ht="24.95" customHeight="1" x14ac:dyDescent="0.3">
      <c r="A295" s="14"/>
      <c r="B295" s="15" t="str">
        <f t="shared" si="4"/>
        <v/>
      </c>
      <c r="C295" s="15"/>
      <c r="D295" s="15"/>
      <c r="E295" s="15"/>
      <c r="F295" s="15"/>
      <c r="G295" s="16" t="str">
        <f>IF(ISBLANK(E295), "", F295 * VLOOKUP(E295, Estoque_Cadastro!$B$2:$C$100, 2, FALSE))</f>
        <v/>
      </c>
    </row>
    <row r="296" spans="1:7" ht="24.95" customHeight="1" x14ac:dyDescent="0.3">
      <c r="A296" s="14"/>
      <c r="B296" s="15" t="str">
        <f t="shared" si="4"/>
        <v/>
      </c>
      <c r="C296" s="15"/>
      <c r="D296" s="15"/>
      <c r="E296" s="15"/>
      <c r="F296" s="15"/>
      <c r="G296" s="16" t="str">
        <f>IF(ISBLANK(E296), "", F296 * VLOOKUP(E296, Estoque_Cadastro!$B$2:$C$100, 2, FALSE))</f>
        <v/>
      </c>
    </row>
    <row r="297" spans="1:7" ht="24.95" customHeight="1" x14ac:dyDescent="0.3">
      <c r="A297" s="14"/>
      <c r="B297" s="15" t="str">
        <f t="shared" si="4"/>
        <v/>
      </c>
      <c r="C297" s="15"/>
      <c r="D297" s="15"/>
      <c r="E297" s="15"/>
      <c r="F297" s="15"/>
      <c r="G297" s="16" t="str">
        <f>IF(ISBLANK(E297), "", F297 * VLOOKUP(E297, Estoque_Cadastro!$B$2:$C$100, 2, FALSE))</f>
        <v/>
      </c>
    </row>
    <row r="298" spans="1:7" ht="24.95" customHeight="1" x14ac:dyDescent="0.3">
      <c r="A298" s="14"/>
      <c r="B298" s="15" t="str">
        <f t="shared" si="4"/>
        <v/>
      </c>
      <c r="C298" s="15"/>
      <c r="D298" s="15"/>
      <c r="E298" s="15"/>
      <c r="F298" s="15"/>
      <c r="G298" s="16" t="str">
        <f>IF(ISBLANK(E298), "", F298 * VLOOKUP(E298, Estoque_Cadastro!$B$2:$C$100, 2, FALSE))</f>
        <v/>
      </c>
    </row>
    <row r="299" spans="1:7" ht="24.95" customHeight="1" x14ac:dyDescent="0.3">
      <c r="A299" s="14"/>
      <c r="B299" s="15" t="str">
        <f t="shared" si="4"/>
        <v/>
      </c>
      <c r="C299" s="15"/>
      <c r="D299" s="15"/>
      <c r="E299" s="15"/>
      <c r="F299" s="15"/>
      <c r="G299" s="16" t="str">
        <f>IF(ISBLANK(E299), "", F299 * VLOOKUP(E299, Estoque_Cadastro!$B$2:$C$100, 2, FALSE))</f>
        <v/>
      </c>
    </row>
    <row r="300" spans="1:7" ht="24.95" customHeight="1" x14ac:dyDescent="0.3">
      <c r="A300" s="14"/>
      <c r="B300" s="15" t="str">
        <f t="shared" si="4"/>
        <v/>
      </c>
      <c r="C300" s="15"/>
      <c r="D300" s="15"/>
      <c r="E300" s="15"/>
      <c r="F300" s="15"/>
      <c r="G300" s="16" t="str">
        <f>IF(ISBLANK(E300), "", F300 * VLOOKUP(E300, Estoque_Cadastro!$B$2:$C$100, 2, FALSE))</f>
        <v/>
      </c>
    </row>
    <row r="301" spans="1:7" ht="24.95" customHeight="1" x14ac:dyDescent="0.3">
      <c r="A301" s="14"/>
      <c r="B301" s="15" t="str">
        <f t="shared" si="4"/>
        <v/>
      </c>
      <c r="C301" s="15"/>
      <c r="D301" s="15"/>
      <c r="E301" s="15"/>
      <c r="F301" s="15"/>
      <c r="G301" s="16" t="str">
        <f>IF(ISBLANK(E301), "", F301 * VLOOKUP(E301, Estoque_Cadastro!$B$2:$C$100, 2, FALSE))</f>
        <v/>
      </c>
    </row>
    <row r="302" spans="1:7" ht="24.95" customHeight="1" x14ac:dyDescent="0.3">
      <c r="A302" s="14"/>
      <c r="B302" s="15" t="str">
        <f t="shared" si="4"/>
        <v/>
      </c>
      <c r="C302" s="15"/>
      <c r="D302" s="15"/>
      <c r="E302" s="15"/>
      <c r="F302" s="15"/>
      <c r="G302" s="16" t="str">
        <f>IF(ISBLANK(E302), "", F302 * VLOOKUP(E302, Estoque_Cadastro!$B$2:$C$100, 2, FALSE))</f>
        <v/>
      </c>
    </row>
    <row r="303" spans="1:7" ht="24.95" customHeight="1" x14ac:dyDescent="0.3">
      <c r="A303" s="14"/>
      <c r="B303" s="15" t="str">
        <f t="shared" si="4"/>
        <v/>
      </c>
      <c r="C303" s="15"/>
      <c r="D303" s="15"/>
      <c r="E303" s="15"/>
      <c r="F303" s="15"/>
      <c r="G303" s="16" t="str">
        <f>IF(ISBLANK(E303), "", F303 * VLOOKUP(E303, Estoque_Cadastro!$B$2:$C$100, 2, FALSE))</f>
        <v/>
      </c>
    </row>
    <row r="304" spans="1:7" ht="24.95" customHeight="1" x14ac:dyDescent="0.3">
      <c r="A304" s="14"/>
      <c r="B304" s="15" t="str">
        <f t="shared" si="4"/>
        <v/>
      </c>
      <c r="C304" s="15"/>
      <c r="D304" s="15"/>
      <c r="E304" s="15"/>
      <c r="F304" s="15"/>
      <c r="G304" s="16" t="str">
        <f>IF(ISBLANK(E304), "", F304 * VLOOKUP(E304, Estoque_Cadastro!$B$2:$C$100, 2, FALSE))</f>
        <v/>
      </c>
    </row>
    <row r="305" spans="1:7" ht="24.95" customHeight="1" x14ac:dyDescent="0.3">
      <c r="A305" s="14"/>
      <c r="B305" s="15" t="str">
        <f t="shared" si="4"/>
        <v/>
      </c>
      <c r="C305" s="15"/>
      <c r="D305" s="15"/>
      <c r="E305" s="15"/>
      <c r="F305" s="15"/>
      <c r="G305" s="16" t="str">
        <f>IF(ISBLANK(E305), "", F305 * VLOOKUP(E305, Estoque_Cadastro!$B$2:$C$100, 2, FALSE))</f>
        <v/>
      </c>
    </row>
    <row r="306" spans="1:7" ht="24.95" customHeight="1" x14ac:dyDescent="0.3">
      <c r="A306" s="14"/>
      <c r="B306" s="15" t="str">
        <f t="shared" si="4"/>
        <v/>
      </c>
      <c r="C306" s="15"/>
      <c r="D306" s="15"/>
      <c r="E306" s="15"/>
      <c r="F306" s="15"/>
      <c r="G306" s="16" t="str">
        <f>IF(ISBLANK(E306), "", F306 * VLOOKUP(E306, Estoque_Cadastro!$B$2:$C$100, 2, FALSE))</f>
        <v/>
      </c>
    </row>
    <row r="307" spans="1:7" ht="24.95" customHeight="1" x14ac:dyDescent="0.3">
      <c r="A307" s="14"/>
      <c r="B307" s="15" t="str">
        <f t="shared" si="4"/>
        <v/>
      </c>
      <c r="C307" s="15"/>
      <c r="D307" s="15"/>
      <c r="E307" s="15"/>
      <c r="F307" s="15"/>
      <c r="G307" s="16" t="str">
        <f>IF(ISBLANK(E307), "", F307 * VLOOKUP(E307, Estoque_Cadastro!$B$2:$C$100, 2, FALSE))</f>
        <v/>
      </c>
    </row>
    <row r="308" spans="1:7" ht="24.95" customHeight="1" x14ac:dyDescent="0.3">
      <c r="A308" s="14"/>
      <c r="B308" s="15" t="str">
        <f t="shared" si="4"/>
        <v/>
      </c>
      <c r="C308" s="15"/>
      <c r="D308" s="15"/>
      <c r="E308" s="15"/>
      <c r="F308" s="15"/>
      <c r="G308" s="16" t="str">
        <f>IF(ISBLANK(E308), "", F308 * VLOOKUP(E308, Estoque_Cadastro!$B$2:$C$100, 2, FALSE))</f>
        <v/>
      </c>
    </row>
    <row r="309" spans="1:7" ht="24.95" customHeight="1" x14ac:dyDescent="0.3">
      <c r="A309" s="14"/>
      <c r="B309" s="15" t="str">
        <f t="shared" si="4"/>
        <v/>
      </c>
      <c r="C309" s="15"/>
      <c r="D309" s="15"/>
      <c r="E309" s="15"/>
      <c r="F309" s="15"/>
      <c r="G309" s="16" t="str">
        <f>IF(ISBLANK(E309), "", F309 * VLOOKUP(E309, Estoque_Cadastro!$B$2:$C$100, 2, FALSE))</f>
        <v/>
      </c>
    </row>
    <row r="310" spans="1:7" ht="24.95" customHeight="1" x14ac:dyDescent="0.3">
      <c r="A310" s="14"/>
      <c r="B310" s="15" t="str">
        <f t="shared" si="4"/>
        <v/>
      </c>
      <c r="C310" s="15"/>
      <c r="D310" s="15"/>
      <c r="E310" s="15"/>
      <c r="F310" s="15"/>
      <c r="G310" s="16" t="str">
        <f>IF(ISBLANK(E310), "", F310 * VLOOKUP(E310, Estoque_Cadastro!$B$2:$C$100, 2, FALSE))</f>
        <v/>
      </c>
    </row>
    <row r="311" spans="1:7" ht="24.95" customHeight="1" x14ac:dyDescent="0.3">
      <c r="A311" s="14"/>
      <c r="B311" s="15" t="str">
        <f t="shared" si="4"/>
        <v/>
      </c>
      <c r="C311" s="15"/>
      <c r="D311" s="15"/>
      <c r="E311" s="15"/>
      <c r="F311" s="15"/>
      <c r="G311" s="16" t="str">
        <f>IF(ISBLANK(E311), "", F311 * VLOOKUP(E311, Estoque_Cadastro!$B$2:$C$100, 2, FALSE))</f>
        <v/>
      </c>
    </row>
    <row r="312" spans="1:7" ht="24.95" customHeight="1" x14ac:dyDescent="0.3">
      <c r="A312" s="14"/>
      <c r="B312" s="15" t="str">
        <f t="shared" si="4"/>
        <v/>
      </c>
      <c r="C312" s="15"/>
      <c r="D312" s="15"/>
      <c r="E312" s="15"/>
      <c r="F312" s="15"/>
      <c r="G312" s="16" t="str">
        <f>IF(ISBLANK(E312), "", F312 * VLOOKUP(E312, Estoque_Cadastro!$B$2:$C$100, 2, FALSE))</f>
        <v/>
      </c>
    </row>
    <row r="313" spans="1:7" ht="24.95" customHeight="1" x14ac:dyDescent="0.3">
      <c r="A313" s="14"/>
      <c r="B313" s="15" t="str">
        <f t="shared" si="4"/>
        <v/>
      </c>
      <c r="C313" s="15"/>
      <c r="D313" s="15"/>
      <c r="E313" s="15"/>
      <c r="F313" s="15"/>
      <c r="G313" s="16" t="str">
        <f>IF(ISBLANK(E313), "", F313 * VLOOKUP(E313, Estoque_Cadastro!$B$2:$C$100, 2, FALSE))</f>
        <v/>
      </c>
    </row>
    <row r="314" spans="1:7" ht="24.95" customHeight="1" x14ac:dyDescent="0.3">
      <c r="A314" s="14"/>
      <c r="B314" s="15" t="str">
        <f t="shared" si="4"/>
        <v/>
      </c>
      <c r="C314" s="15"/>
      <c r="D314" s="15"/>
      <c r="E314" s="15"/>
      <c r="F314" s="15"/>
      <c r="G314" s="16" t="str">
        <f>IF(ISBLANK(E314), "", F314 * VLOOKUP(E314, Estoque_Cadastro!$B$2:$C$100, 2, FALSE))</f>
        <v/>
      </c>
    </row>
    <row r="315" spans="1:7" ht="24.95" customHeight="1" x14ac:dyDescent="0.3">
      <c r="A315" s="14"/>
      <c r="B315" s="15" t="str">
        <f t="shared" si="4"/>
        <v/>
      </c>
      <c r="C315" s="15"/>
      <c r="D315" s="15"/>
      <c r="E315" s="15"/>
      <c r="F315" s="15"/>
      <c r="G315" s="16" t="str">
        <f>IF(ISBLANK(E315), "", F315 * VLOOKUP(E315, Estoque_Cadastro!$B$2:$C$100, 2, FALSE))</f>
        <v/>
      </c>
    </row>
    <row r="316" spans="1:7" ht="24.95" customHeight="1" x14ac:dyDescent="0.3">
      <c r="A316" s="14"/>
      <c r="B316" s="15" t="str">
        <f t="shared" si="4"/>
        <v/>
      </c>
      <c r="C316" s="15"/>
      <c r="D316" s="15"/>
      <c r="E316" s="15"/>
      <c r="F316" s="15"/>
      <c r="G316" s="16" t="str">
        <f>IF(ISBLANK(E316), "", F316 * VLOOKUP(E316, Estoque_Cadastro!$B$2:$C$100, 2, FALSE))</f>
        <v/>
      </c>
    </row>
    <row r="317" spans="1:7" ht="24.95" customHeight="1" x14ac:dyDescent="0.3">
      <c r="A317" s="14"/>
      <c r="B317" s="15" t="str">
        <f t="shared" si="4"/>
        <v/>
      </c>
      <c r="C317" s="15"/>
      <c r="D317" s="15"/>
      <c r="E317" s="15"/>
      <c r="F317" s="15"/>
      <c r="G317" s="16" t="str">
        <f>IF(ISBLANK(E317), "", F317 * VLOOKUP(E317, Estoque_Cadastro!$B$2:$C$100, 2, FALSE))</f>
        <v/>
      </c>
    </row>
    <row r="318" spans="1:7" ht="24.95" customHeight="1" x14ac:dyDescent="0.3">
      <c r="A318" s="14"/>
      <c r="B318" s="15" t="str">
        <f t="shared" si="4"/>
        <v/>
      </c>
      <c r="C318" s="15"/>
      <c r="D318" s="15"/>
      <c r="E318" s="15"/>
      <c r="F318" s="15"/>
      <c r="G318" s="16" t="str">
        <f>IF(ISBLANK(E318), "", F318 * VLOOKUP(E318, Estoque_Cadastro!$B$2:$C$100, 2, FALSE))</f>
        <v/>
      </c>
    </row>
    <row r="319" spans="1:7" ht="24.95" customHeight="1" x14ac:dyDescent="0.3">
      <c r="A319" s="14"/>
      <c r="B319" s="15" t="str">
        <f t="shared" si="4"/>
        <v/>
      </c>
      <c r="C319" s="15"/>
      <c r="D319" s="15"/>
      <c r="E319" s="15"/>
      <c r="F319" s="15"/>
      <c r="G319" s="16" t="str">
        <f>IF(ISBLANK(E319), "", F319 * VLOOKUP(E319, Estoque_Cadastro!$B$2:$C$100, 2, FALSE))</f>
        <v/>
      </c>
    </row>
    <row r="320" spans="1:7" ht="24.95" customHeight="1" x14ac:dyDescent="0.3">
      <c r="A320" s="14"/>
      <c r="B320" s="15" t="str">
        <f t="shared" si="4"/>
        <v/>
      </c>
      <c r="C320" s="15"/>
      <c r="D320" s="15"/>
      <c r="E320" s="15"/>
      <c r="F320" s="15"/>
      <c r="G320" s="16" t="str">
        <f>IF(ISBLANK(E320), "", F320 * VLOOKUP(E320, Estoque_Cadastro!$B$2:$C$100, 2, FALSE))</f>
        <v/>
      </c>
    </row>
    <row r="321" spans="1:7" ht="24.95" customHeight="1" x14ac:dyDescent="0.3">
      <c r="A321" s="14"/>
      <c r="B321" s="15" t="str">
        <f t="shared" si="4"/>
        <v/>
      </c>
      <c r="C321" s="15"/>
      <c r="D321" s="15"/>
      <c r="E321" s="15"/>
      <c r="F321" s="15"/>
      <c r="G321" s="16" t="str">
        <f>IF(ISBLANK(E321), "", F321 * VLOOKUP(E321, Estoque_Cadastro!$B$2:$C$100, 2, FALSE))</f>
        <v/>
      </c>
    </row>
    <row r="322" spans="1:7" ht="24.95" customHeight="1" x14ac:dyDescent="0.3">
      <c r="A322" s="14"/>
      <c r="B322" s="15" t="str">
        <f t="shared" ref="B322:B385" si="5">IF(A322="","", MONTH(A322))</f>
        <v/>
      </c>
      <c r="C322" s="15"/>
      <c r="D322" s="15"/>
      <c r="E322" s="15"/>
      <c r="F322" s="15"/>
      <c r="G322" s="16" t="str">
        <f>IF(ISBLANK(E322), "", F322 * VLOOKUP(E322, Estoque_Cadastro!$B$2:$C$100, 2, FALSE))</f>
        <v/>
      </c>
    </row>
    <row r="323" spans="1:7" ht="24.95" customHeight="1" x14ac:dyDescent="0.3">
      <c r="A323" s="14"/>
      <c r="B323" s="15" t="str">
        <f t="shared" si="5"/>
        <v/>
      </c>
      <c r="C323" s="15"/>
      <c r="D323" s="15"/>
      <c r="E323" s="15"/>
      <c r="F323" s="15"/>
      <c r="G323" s="16" t="str">
        <f>IF(ISBLANK(E323), "", F323 * VLOOKUP(E323, Estoque_Cadastro!$B$2:$C$100, 2, FALSE))</f>
        <v/>
      </c>
    </row>
    <row r="324" spans="1:7" ht="24.95" customHeight="1" x14ac:dyDescent="0.3">
      <c r="A324" s="14"/>
      <c r="B324" s="15" t="str">
        <f t="shared" si="5"/>
        <v/>
      </c>
      <c r="C324" s="15"/>
      <c r="D324" s="15"/>
      <c r="E324" s="15"/>
      <c r="F324" s="15"/>
      <c r="G324" s="16" t="str">
        <f>IF(ISBLANK(E324), "", F324 * VLOOKUP(E324, Estoque_Cadastro!$B$2:$C$100, 2, FALSE))</f>
        <v/>
      </c>
    </row>
    <row r="325" spans="1:7" ht="24.95" customHeight="1" x14ac:dyDescent="0.3">
      <c r="A325" s="14"/>
      <c r="B325" s="15" t="str">
        <f t="shared" si="5"/>
        <v/>
      </c>
      <c r="C325" s="15"/>
      <c r="D325" s="15"/>
      <c r="E325" s="15"/>
      <c r="F325" s="15"/>
      <c r="G325" s="16" t="str">
        <f>IF(ISBLANK(E325), "", F325 * VLOOKUP(E325, Estoque_Cadastro!$B$2:$C$100, 2, FALSE))</f>
        <v/>
      </c>
    </row>
    <row r="326" spans="1:7" ht="24.95" customHeight="1" x14ac:dyDescent="0.3">
      <c r="A326" s="14"/>
      <c r="B326" s="15" t="str">
        <f t="shared" si="5"/>
        <v/>
      </c>
      <c r="C326" s="15"/>
      <c r="D326" s="15"/>
      <c r="E326" s="15"/>
      <c r="F326" s="15"/>
      <c r="G326" s="16" t="str">
        <f>IF(ISBLANK(E326), "", F326 * VLOOKUP(E326, Estoque_Cadastro!$B$2:$C$100, 2, FALSE))</f>
        <v/>
      </c>
    </row>
    <row r="327" spans="1:7" ht="24.95" customHeight="1" x14ac:dyDescent="0.3">
      <c r="A327" s="14"/>
      <c r="B327" s="15" t="str">
        <f t="shared" si="5"/>
        <v/>
      </c>
      <c r="C327" s="15"/>
      <c r="D327" s="15"/>
      <c r="E327" s="15"/>
      <c r="F327" s="15"/>
      <c r="G327" s="16" t="str">
        <f>IF(ISBLANK(E327), "", F327 * VLOOKUP(E327, Estoque_Cadastro!$B$2:$C$100, 2, FALSE))</f>
        <v/>
      </c>
    </row>
    <row r="328" spans="1:7" ht="24.95" customHeight="1" x14ac:dyDescent="0.3">
      <c r="A328" s="14"/>
      <c r="B328" s="15" t="str">
        <f t="shared" si="5"/>
        <v/>
      </c>
      <c r="C328" s="15"/>
      <c r="D328" s="15"/>
      <c r="E328" s="15"/>
      <c r="F328" s="15"/>
      <c r="G328" s="16" t="str">
        <f>IF(ISBLANK(E328), "", F328 * VLOOKUP(E328, Estoque_Cadastro!$B$2:$C$100, 2, FALSE))</f>
        <v/>
      </c>
    </row>
    <row r="329" spans="1:7" ht="24.95" customHeight="1" x14ac:dyDescent="0.3">
      <c r="A329" s="14"/>
      <c r="B329" s="15" t="str">
        <f t="shared" si="5"/>
        <v/>
      </c>
      <c r="C329" s="15"/>
      <c r="D329" s="15"/>
      <c r="E329" s="15"/>
      <c r="F329" s="15"/>
      <c r="G329" s="16" t="str">
        <f>IF(ISBLANK(E329), "", F329 * VLOOKUP(E329, Estoque_Cadastro!$B$2:$C$100, 2, FALSE))</f>
        <v/>
      </c>
    </row>
    <row r="330" spans="1:7" ht="24.95" customHeight="1" x14ac:dyDescent="0.3">
      <c r="A330" s="14"/>
      <c r="B330" s="15" t="str">
        <f t="shared" si="5"/>
        <v/>
      </c>
      <c r="C330" s="15"/>
      <c r="D330" s="15"/>
      <c r="E330" s="15"/>
      <c r="F330" s="15"/>
      <c r="G330" s="16" t="str">
        <f>IF(ISBLANK(E330), "", F330 * VLOOKUP(E330, Estoque_Cadastro!$B$2:$C$100, 2, FALSE))</f>
        <v/>
      </c>
    </row>
    <row r="331" spans="1:7" ht="24.95" customHeight="1" x14ac:dyDescent="0.3">
      <c r="A331" s="14"/>
      <c r="B331" s="15" t="str">
        <f t="shared" si="5"/>
        <v/>
      </c>
      <c r="C331" s="15"/>
      <c r="D331" s="15"/>
      <c r="E331" s="15"/>
      <c r="F331" s="15"/>
      <c r="G331" s="16" t="str">
        <f>IF(ISBLANK(E331), "", F331 * VLOOKUP(E331, Estoque_Cadastro!$B$2:$C$100, 2, FALSE))</f>
        <v/>
      </c>
    </row>
    <row r="332" spans="1:7" ht="24.95" customHeight="1" x14ac:dyDescent="0.3">
      <c r="A332" s="14"/>
      <c r="B332" s="15" t="str">
        <f t="shared" si="5"/>
        <v/>
      </c>
      <c r="C332" s="15"/>
      <c r="D332" s="15"/>
      <c r="E332" s="15"/>
      <c r="F332" s="15"/>
      <c r="G332" s="16" t="str">
        <f>IF(ISBLANK(E332), "", F332 * VLOOKUP(E332, Estoque_Cadastro!$B$2:$C$100, 2, FALSE))</f>
        <v/>
      </c>
    </row>
    <row r="333" spans="1:7" ht="24.95" customHeight="1" x14ac:dyDescent="0.3">
      <c r="A333" s="14"/>
      <c r="B333" s="15" t="str">
        <f t="shared" si="5"/>
        <v/>
      </c>
      <c r="C333" s="15"/>
      <c r="D333" s="15"/>
      <c r="E333" s="15"/>
      <c r="F333" s="15"/>
      <c r="G333" s="16" t="str">
        <f>IF(ISBLANK(E333), "", F333 * VLOOKUP(E333, Estoque_Cadastro!$B$2:$C$100, 2, FALSE))</f>
        <v/>
      </c>
    </row>
    <row r="334" spans="1:7" ht="24.95" customHeight="1" x14ac:dyDescent="0.3">
      <c r="A334" s="14"/>
      <c r="B334" s="15" t="str">
        <f t="shared" si="5"/>
        <v/>
      </c>
      <c r="C334" s="15"/>
      <c r="D334" s="15"/>
      <c r="E334" s="15"/>
      <c r="F334" s="15"/>
      <c r="G334" s="16" t="str">
        <f>IF(ISBLANK(E334), "", F334 * VLOOKUP(E334, Estoque_Cadastro!$B$2:$C$100, 2, FALSE))</f>
        <v/>
      </c>
    </row>
    <row r="335" spans="1:7" ht="24.95" customHeight="1" x14ac:dyDescent="0.3">
      <c r="A335" s="14"/>
      <c r="B335" s="15" t="str">
        <f t="shared" si="5"/>
        <v/>
      </c>
      <c r="C335" s="15"/>
      <c r="D335" s="15"/>
      <c r="E335" s="15"/>
      <c r="F335" s="15"/>
      <c r="G335" s="16" t="str">
        <f>IF(ISBLANK(E335), "", F335 * VLOOKUP(E335, Estoque_Cadastro!$B$2:$C$100, 2, FALSE))</f>
        <v/>
      </c>
    </row>
    <row r="336" spans="1:7" ht="24.95" customHeight="1" x14ac:dyDescent="0.3">
      <c r="A336" s="14"/>
      <c r="B336" s="15" t="str">
        <f t="shared" si="5"/>
        <v/>
      </c>
      <c r="C336" s="15"/>
      <c r="D336" s="15"/>
      <c r="E336" s="15"/>
      <c r="F336" s="15"/>
      <c r="G336" s="16" t="str">
        <f>IF(ISBLANK(E336), "", F336 * VLOOKUP(E336, Estoque_Cadastro!$B$2:$C$100, 2, FALSE))</f>
        <v/>
      </c>
    </row>
    <row r="337" spans="1:7" ht="24.95" customHeight="1" x14ac:dyDescent="0.3">
      <c r="A337" s="14"/>
      <c r="B337" s="15" t="str">
        <f t="shared" si="5"/>
        <v/>
      </c>
      <c r="C337" s="15"/>
      <c r="D337" s="15"/>
      <c r="E337" s="15"/>
      <c r="F337" s="15"/>
      <c r="G337" s="16" t="str">
        <f>IF(ISBLANK(E337), "", F337 * VLOOKUP(E337, Estoque_Cadastro!$B$2:$C$100, 2, FALSE))</f>
        <v/>
      </c>
    </row>
    <row r="338" spans="1:7" ht="24.95" customHeight="1" x14ac:dyDescent="0.3">
      <c r="A338" s="14"/>
      <c r="B338" s="15" t="str">
        <f t="shared" si="5"/>
        <v/>
      </c>
      <c r="C338" s="15"/>
      <c r="D338" s="15"/>
      <c r="E338" s="15"/>
      <c r="F338" s="15"/>
      <c r="G338" s="16" t="str">
        <f>IF(ISBLANK(E338), "", F338 * VLOOKUP(E338, Estoque_Cadastro!$B$2:$C$100, 2, FALSE))</f>
        <v/>
      </c>
    </row>
    <row r="339" spans="1:7" ht="24.95" customHeight="1" x14ac:dyDescent="0.3">
      <c r="A339" s="14"/>
      <c r="B339" s="15" t="str">
        <f t="shared" si="5"/>
        <v/>
      </c>
      <c r="C339" s="15"/>
      <c r="D339" s="15"/>
      <c r="E339" s="15"/>
      <c r="F339" s="15"/>
      <c r="G339" s="16" t="str">
        <f>IF(ISBLANK(E339), "", F339 * VLOOKUP(E339, Estoque_Cadastro!$B$2:$C$100, 2, FALSE))</f>
        <v/>
      </c>
    </row>
    <row r="340" spans="1:7" ht="24.95" customHeight="1" x14ac:dyDescent="0.3">
      <c r="A340" s="14"/>
      <c r="B340" s="15" t="str">
        <f t="shared" si="5"/>
        <v/>
      </c>
      <c r="C340" s="15"/>
      <c r="D340" s="15"/>
      <c r="E340" s="15"/>
      <c r="F340" s="15"/>
      <c r="G340" s="16" t="str">
        <f>IF(ISBLANK(E340), "", F340 * VLOOKUP(E340, Estoque_Cadastro!$B$2:$C$100, 2, FALSE))</f>
        <v/>
      </c>
    </row>
    <row r="341" spans="1:7" ht="24.95" customHeight="1" x14ac:dyDescent="0.3">
      <c r="A341" s="14"/>
      <c r="B341" s="15" t="str">
        <f t="shared" si="5"/>
        <v/>
      </c>
      <c r="C341" s="15"/>
      <c r="D341" s="15"/>
      <c r="E341" s="15"/>
      <c r="F341" s="15"/>
      <c r="G341" s="16" t="str">
        <f>IF(ISBLANK(E341), "", F341 * VLOOKUP(E341, Estoque_Cadastro!$B$2:$C$100, 2, FALSE))</f>
        <v/>
      </c>
    </row>
    <row r="342" spans="1:7" ht="24.95" customHeight="1" x14ac:dyDescent="0.3">
      <c r="A342" s="14"/>
      <c r="B342" s="15" t="str">
        <f t="shared" si="5"/>
        <v/>
      </c>
      <c r="C342" s="15"/>
      <c r="D342" s="15"/>
      <c r="E342" s="15"/>
      <c r="F342" s="15"/>
      <c r="G342" s="16" t="str">
        <f>IF(ISBLANK(E342), "", F342 * VLOOKUP(E342, Estoque_Cadastro!$B$2:$C$100, 2, FALSE))</f>
        <v/>
      </c>
    </row>
    <row r="343" spans="1:7" ht="24.95" customHeight="1" x14ac:dyDescent="0.3">
      <c r="A343" s="14"/>
      <c r="B343" s="15" t="str">
        <f t="shared" si="5"/>
        <v/>
      </c>
      <c r="C343" s="15"/>
      <c r="D343" s="15"/>
      <c r="E343" s="15"/>
      <c r="F343" s="15"/>
      <c r="G343" s="16" t="str">
        <f>IF(ISBLANK(E343), "", F343 * VLOOKUP(E343, Estoque_Cadastro!$B$2:$C$100, 2, FALSE))</f>
        <v/>
      </c>
    </row>
    <row r="344" spans="1:7" ht="24.95" customHeight="1" x14ac:dyDescent="0.3">
      <c r="A344" s="14"/>
      <c r="B344" s="15" t="str">
        <f t="shared" si="5"/>
        <v/>
      </c>
      <c r="C344" s="15"/>
      <c r="D344" s="15"/>
      <c r="E344" s="15"/>
      <c r="F344" s="15"/>
      <c r="G344" s="16" t="str">
        <f>IF(ISBLANK(E344), "", F344 * VLOOKUP(E344, Estoque_Cadastro!$B$2:$C$100, 2, FALSE))</f>
        <v/>
      </c>
    </row>
    <row r="345" spans="1:7" ht="24.95" customHeight="1" x14ac:dyDescent="0.3">
      <c r="A345" s="14"/>
      <c r="B345" s="15" t="str">
        <f t="shared" si="5"/>
        <v/>
      </c>
      <c r="C345" s="15"/>
      <c r="D345" s="15"/>
      <c r="E345" s="15"/>
      <c r="F345" s="15"/>
      <c r="G345" s="16" t="str">
        <f>IF(ISBLANK(E345), "", F345 * VLOOKUP(E345, Estoque_Cadastro!$B$2:$C$100, 2, FALSE))</f>
        <v/>
      </c>
    </row>
    <row r="346" spans="1:7" ht="24.95" customHeight="1" x14ac:dyDescent="0.3">
      <c r="A346" s="14"/>
      <c r="B346" s="15" t="str">
        <f t="shared" si="5"/>
        <v/>
      </c>
      <c r="C346" s="15"/>
      <c r="D346" s="15"/>
      <c r="E346" s="15"/>
      <c r="F346" s="15"/>
      <c r="G346" s="16" t="str">
        <f>IF(ISBLANK(E346), "", F346 * VLOOKUP(E346, Estoque_Cadastro!$B$2:$C$100, 2, FALSE))</f>
        <v/>
      </c>
    </row>
    <row r="347" spans="1:7" ht="24.95" customHeight="1" x14ac:dyDescent="0.3">
      <c r="A347" s="14"/>
      <c r="B347" s="15" t="str">
        <f t="shared" si="5"/>
        <v/>
      </c>
      <c r="C347" s="15"/>
      <c r="D347" s="15"/>
      <c r="E347" s="15"/>
      <c r="F347" s="15"/>
      <c r="G347" s="16" t="str">
        <f>IF(ISBLANK(E347), "", F347 * VLOOKUP(E347, Estoque_Cadastro!$B$2:$C$100, 2, FALSE))</f>
        <v/>
      </c>
    </row>
    <row r="348" spans="1:7" ht="24.95" customHeight="1" x14ac:dyDescent="0.3">
      <c r="A348" s="14"/>
      <c r="B348" s="15" t="str">
        <f t="shared" si="5"/>
        <v/>
      </c>
      <c r="C348" s="15"/>
      <c r="D348" s="15"/>
      <c r="E348" s="15"/>
      <c r="F348" s="15"/>
      <c r="G348" s="16" t="str">
        <f>IF(ISBLANK(E348), "", F348 * VLOOKUP(E348, Estoque_Cadastro!$B$2:$C$100, 2, FALSE))</f>
        <v/>
      </c>
    </row>
    <row r="349" spans="1:7" ht="24.95" customHeight="1" x14ac:dyDescent="0.3">
      <c r="A349" s="14"/>
      <c r="B349" s="15" t="str">
        <f t="shared" si="5"/>
        <v/>
      </c>
      <c r="C349" s="15"/>
      <c r="D349" s="15"/>
      <c r="E349" s="15"/>
      <c r="F349" s="15"/>
      <c r="G349" s="16" t="str">
        <f>IF(ISBLANK(E349), "", F349 * VLOOKUP(E349, Estoque_Cadastro!$B$2:$C$100, 2, FALSE))</f>
        <v/>
      </c>
    </row>
    <row r="350" spans="1:7" ht="24.95" customHeight="1" x14ac:dyDescent="0.3">
      <c r="A350" s="14"/>
      <c r="B350" s="15" t="str">
        <f t="shared" si="5"/>
        <v/>
      </c>
      <c r="C350" s="15"/>
      <c r="D350" s="15"/>
      <c r="E350" s="15"/>
      <c r="F350" s="15"/>
      <c r="G350" s="16" t="str">
        <f>IF(ISBLANK(E350), "", F350 * VLOOKUP(E350, Estoque_Cadastro!$B$2:$C$100, 2, FALSE))</f>
        <v/>
      </c>
    </row>
    <row r="351" spans="1:7" ht="24.95" customHeight="1" x14ac:dyDescent="0.3">
      <c r="A351" s="14"/>
      <c r="B351" s="15" t="str">
        <f t="shared" si="5"/>
        <v/>
      </c>
      <c r="C351" s="15"/>
      <c r="D351" s="15"/>
      <c r="E351" s="15"/>
      <c r="F351" s="15"/>
      <c r="G351" s="16" t="str">
        <f>IF(ISBLANK(E351), "", F351 * VLOOKUP(E351, Estoque_Cadastro!$B$2:$C$100, 2, FALSE))</f>
        <v/>
      </c>
    </row>
    <row r="352" spans="1:7" ht="24.95" customHeight="1" x14ac:dyDescent="0.3">
      <c r="A352" s="14"/>
      <c r="B352" s="15" t="str">
        <f t="shared" si="5"/>
        <v/>
      </c>
      <c r="C352" s="15"/>
      <c r="D352" s="15"/>
      <c r="E352" s="15"/>
      <c r="F352" s="15"/>
      <c r="G352" s="16" t="str">
        <f>IF(ISBLANK(E352), "", F352 * VLOOKUP(E352, Estoque_Cadastro!$B$2:$C$100, 2, FALSE))</f>
        <v/>
      </c>
    </row>
    <row r="353" spans="1:7" ht="24.95" customHeight="1" x14ac:dyDescent="0.3">
      <c r="A353" s="14"/>
      <c r="B353" s="15" t="str">
        <f t="shared" si="5"/>
        <v/>
      </c>
      <c r="C353" s="15"/>
      <c r="D353" s="15"/>
      <c r="E353" s="15"/>
      <c r="F353" s="15"/>
      <c r="G353" s="16" t="str">
        <f>IF(ISBLANK(E353), "", F353 * VLOOKUP(E353, Estoque_Cadastro!$B$2:$C$100, 2, FALSE))</f>
        <v/>
      </c>
    </row>
    <row r="354" spans="1:7" ht="24.95" customHeight="1" x14ac:dyDescent="0.3">
      <c r="A354" s="14"/>
      <c r="B354" s="15" t="str">
        <f t="shared" si="5"/>
        <v/>
      </c>
      <c r="C354" s="15"/>
      <c r="D354" s="15"/>
      <c r="E354" s="15"/>
      <c r="F354" s="15"/>
      <c r="G354" s="16" t="str">
        <f>IF(ISBLANK(E354), "", F354 * VLOOKUP(E354, Estoque_Cadastro!$B$2:$C$100, 2, FALSE))</f>
        <v/>
      </c>
    </row>
    <row r="355" spans="1:7" ht="24.95" customHeight="1" x14ac:dyDescent="0.3">
      <c r="A355" s="14"/>
      <c r="B355" s="15" t="str">
        <f t="shared" si="5"/>
        <v/>
      </c>
      <c r="C355" s="15"/>
      <c r="D355" s="15"/>
      <c r="E355" s="15"/>
      <c r="F355" s="15"/>
      <c r="G355" s="16" t="str">
        <f>IF(ISBLANK(E355), "", F355 * VLOOKUP(E355, Estoque_Cadastro!$B$2:$C$100, 2, FALSE))</f>
        <v/>
      </c>
    </row>
    <row r="356" spans="1:7" ht="24.95" customHeight="1" x14ac:dyDescent="0.3">
      <c r="A356" s="14"/>
      <c r="B356" s="15" t="str">
        <f t="shared" si="5"/>
        <v/>
      </c>
      <c r="C356" s="15"/>
      <c r="D356" s="15"/>
      <c r="E356" s="15"/>
      <c r="F356" s="15"/>
      <c r="G356" s="16" t="str">
        <f>IF(ISBLANK(E356), "", F356 * VLOOKUP(E356, Estoque_Cadastro!$B$2:$C$100, 2, FALSE))</f>
        <v/>
      </c>
    </row>
    <row r="357" spans="1:7" ht="24.95" customHeight="1" x14ac:dyDescent="0.3">
      <c r="A357" s="14"/>
      <c r="B357" s="15" t="str">
        <f t="shared" si="5"/>
        <v/>
      </c>
      <c r="C357" s="15"/>
      <c r="D357" s="15"/>
      <c r="E357" s="15"/>
      <c r="F357" s="15"/>
      <c r="G357" s="16" t="str">
        <f>IF(ISBLANK(E357), "", F357 * VLOOKUP(E357, Estoque_Cadastro!$B$2:$C$100, 2, FALSE))</f>
        <v/>
      </c>
    </row>
    <row r="358" spans="1:7" ht="24.95" customHeight="1" x14ac:dyDescent="0.3">
      <c r="A358" s="14"/>
      <c r="B358" s="15" t="str">
        <f t="shared" si="5"/>
        <v/>
      </c>
      <c r="C358" s="15"/>
      <c r="D358" s="15"/>
      <c r="E358" s="15"/>
      <c r="F358" s="15"/>
      <c r="G358" s="16" t="str">
        <f>IF(ISBLANK(E358), "", F358 * VLOOKUP(E358, Estoque_Cadastro!$B$2:$C$100, 2, FALSE))</f>
        <v/>
      </c>
    </row>
    <row r="359" spans="1:7" ht="24.95" customHeight="1" x14ac:dyDescent="0.3">
      <c r="A359" s="14"/>
      <c r="B359" s="15" t="str">
        <f t="shared" si="5"/>
        <v/>
      </c>
      <c r="C359" s="15"/>
      <c r="D359" s="15"/>
      <c r="E359" s="15"/>
      <c r="F359" s="15"/>
      <c r="G359" s="16" t="str">
        <f>IF(ISBLANK(E359), "", F359 * VLOOKUP(E359, Estoque_Cadastro!$B$2:$C$100, 2, FALSE))</f>
        <v/>
      </c>
    </row>
    <row r="360" spans="1:7" ht="24.95" customHeight="1" x14ac:dyDescent="0.3">
      <c r="A360" s="14"/>
      <c r="B360" s="15" t="str">
        <f t="shared" si="5"/>
        <v/>
      </c>
      <c r="C360" s="15"/>
      <c r="D360" s="15"/>
      <c r="E360" s="15"/>
      <c r="F360" s="15"/>
      <c r="G360" s="16" t="str">
        <f>IF(ISBLANK(E360), "", F360 * VLOOKUP(E360, Estoque_Cadastro!$B$2:$C$100, 2, FALSE))</f>
        <v/>
      </c>
    </row>
    <row r="361" spans="1:7" ht="24.95" customHeight="1" x14ac:dyDescent="0.3">
      <c r="A361" s="14"/>
      <c r="B361" s="15" t="str">
        <f t="shared" si="5"/>
        <v/>
      </c>
      <c r="C361" s="15"/>
      <c r="D361" s="15"/>
      <c r="E361" s="15"/>
      <c r="F361" s="15"/>
      <c r="G361" s="16" t="str">
        <f>IF(ISBLANK(E361), "", F361 * VLOOKUP(E361, Estoque_Cadastro!$B$2:$C$100, 2, FALSE))</f>
        <v/>
      </c>
    </row>
    <row r="362" spans="1:7" ht="24.95" customHeight="1" x14ac:dyDescent="0.3">
      <c r="A362" s="14"/>
      <c r="B362" s="15" t="str">
        <f t="shared" si="5"/>
        <v/>
      </c>
      <c r="C362" s="15"/>
      <c r="D362" s="15"/>
      <c r="E362" s="15"/>
      <c r="F362" s="15"/>
      <c r="G362" s="16" t="str">
        <f>IF(ISBLANK(E362), "", F362 * VLOOKUP(E362, Estoque_Cadastro!$B$2:$C$100, 2, FALSE))</f>
        <v/>
      </c>
    </row>
    <row r="363" spans="1:7" ht="24.95" customHeight="1" x14ac:dyDescent="0.3">
      <c r="A363" s="14"/>
      <c r="B363" s="15" t="str">
        <f t="shared" si="5"/>
        <v/>
      </c>
      <c r="C363" s="15"/>
      <c r="D363" s="15"/>
      <c r="E363" s="15"/>
      <c r="F363" s="15"/>
      <c r="G363" s="16" t="str">
        <f>IF(ISBLANK(E363), "", F363 * VLOOKUP(E363, Estoque_Cadastro!$B$2:$C$100, 2, FALSE))</f>
        <v/>
      </c>
    </row>
    <row r="364" spans="1:7" ht="24.95" customHeight="1" x14ac:dyDescent="0.3">
      <c r="A364" s="14"/>
      <c r="B364" s="15" t="str">
        <f t="shared" si="5"/>
        <v/>
      </c>
      <c r="C364" s="15"/>
      <c r="D364" s="15"/>
      <c r="E364" s="15"/>
      <c r="F364" s="15"/>
      <c r="G364" s="16" t="str">
        <f>IF(ISBLANK(E364), "", F364 * VLOOKUP(E364, Estoque_Cadastro!$B$2:$C$100, 2, FALSE))</f>
        <v/>
      </c>
    </row>
    <row r="365" spans="1:7" ht="24.95" customHeight="1" x14ac:dyDescent="0.3">
      <c r="A365" s="14"/>
      <c r="B365" s="15" t="str">
        <f t="shared" si="5"/>
        <v/>
      </c>
      <c r="C365" s="15"/>
      <c r="D365" s="15"/>
      <c r="E365" s="15"/>
      <c r="F365" s="15"/>
      <c r="G365" s="16" t="str">
        <f>IF(ISBLANK(E365), "", F365 * VLOOKUP(E365, Estoque_Cadastro!$B$2:$C$100, 2, FALSE))</f>
        <v/>
      </c>
    </row>
    <row r="366" spans="1:7" ht="24.95" customHeight="1" x14ac:dyDescent="0.3">
      <c r="A366" s="14"/>
      <c r="B366" s="15" t="str">
        <f t="shared" si="5"/>
        <v/>
      </c>
      <c r="C366" s="15"/>
      <c r="D366" s="15"/>
      <c r="E366" s="15"/>
      <c r="F366" s="15"/>
      <c r="G366" s="16" t="str">
        <f>IF(ISBLANK(E366), "", F366 * VLOOKUP(E366, Estoque_Cadastro!$B$2:$C$100, 2, FALSE))</f>
        <v/>
      </c>
    </row>
    <row r="367" spans="1:7" ht="24.95" customHeight="1" x14ac:dyDescent="0.3">
      <c r="A367" s="14"/>
      <c r="B367" s="15" t="str">
        <f t="shared" si="5"/>
        <v/>
      </c>
      <c r="C367" s="15"/>
      <c r="D367" s="15"/>
      <c r="E367" s="15"/>
      <c r="F367" s="15"/>
      <c r="G367" s="16" t="str">
        <f>IF(ISBLANK(E367), "", F367 * VLOOKUP(E367, Estoque_Cadastro!$B$2:$C$100, 2, FALSE))</f>
        <v/>
      </c>
    </row>
    <row r="368" spans="1:7" ht="24.95" customHeight="1" x14ac:dyDescent="0.3">
      <c r="A368" s="14"/>
      <c r="B368" s="15" t="str">
        <f t="shared" si="5"/>
        <v/>
      </c>
      <c r="C368" s="15"/>
      <c r="D368" s="15"/>
      <c r="E368" s="15"/>
      <c r="F368" s="15"/>
      <c r="G368" s="16" t="str">
        <f>IF(ISBLANK(E368), "", F368 * VLOOKUP(E368, Estoque_Cadastro!$B$2:$C$100, 2, FALSE))</f>
        <v/>
      </c>
    </row>
    <row r="369" spans="1:7" ht="24.95" customHeight="1" x14ac:dyDescent="0.3">
      <c r="A369" s="14"/>
      <c r="B369" s="15" t="str">
        <f t="shared" si="5"/>
        <v/>
      </c>
      <c r="C369" s="15"/>
      <c r="D369" s="15"/>
      <c r="E369" s="15"/>
      <c r="F369" s="15"/>
      <c r="G369" s="16" t="str">
        <f>IF(ISBLANK(E369), "", F369 * VLOOKUP(E369, Estoque_Cadastro!$B$2:$C$100, 2, FALSE))</f>
        <v/>
      </c>
    </row>
    <row r="370" spans="1:7" ht="24.95" customHeight="1" x14ac:dyDescent="0.3">
      <c r="A370" s="14"/>
      <c r="B370" s="15" t="str">
        <f t="shared" si="5"/>
        <v/>
      </c>
      <c r="C370" s="15"/>
      <c r="D370" s="15"/>
      <c r="E370" s="15"/>
      <c r="F370" s="15"/>
      <c r="G370" s="16" t="str">
        <f>IF(ISBLANK(E370), "", F370 * VLOOKUP(E370, Estoque_Cadastro!$B$2:$C$100, 2, FALSE))</f>
        <v/>
      </c>
    </row>
    <row r="371" spans="1:7" ht="24.95" customHeight="1" x14ac:dyDescent="0.3">
      <c r="A371" s="14"/>
      <c r="B371" s="15" t="str">
        <f t="shared" si="5"/>
        <v/>
      </c>
      <c r="C371" s="15"/>
      <c r="D371" s="15"/>
      <c r="E371" s="15"/>
      <c r="F371" s="15"/>
      <c r="G371" s="16" t="str">
        <f>IF(ISBLANK(E371), "", F371 * VLOOKUP(E371, Estoque_Cadastro!$B$2:$C$100, 2, FALSE))</f>
        <v/>
      </c>
    </row>
    <row r="372" spans="1:7" ht="24.95" customHeight="1" x14ac:dyDescent="0.3">
      <c r="A372" s="14"/>
      <c r="B372" s="15" t="str">
        <f t="shared" si="5"/>
        <v/>
      </c>
      <c r="C372" s="15"/>
      <c r="D372" s="15"/>
      <c r="E372" s="15"/>
      <c r="F372" s="15"/>
      <c r="G372" s="16" t="str">
        <f>IF(ISBLANK(E372), "", F372 * VLOOKUP(E372, Estoque_Cadastro!$B$2:$C$100, 2, FALSE))</f>
        <v/>
      </c>
    </row>
    <row r="373" spans="1:7" ht="24.95" customHeight="1" x14ac:dyDescent="0.3">
      <c r="A373" s="14"/>
      <c r="B373" s="15" t="str">
        <f t="shared" si="5"/>
        <v/>
      </c>
      <c r="C373" s="15"/>
      <c r="D373" s="15"/>
      <c r="E373" s="15"/>
      <c r="F373" s="15"/>
      <c r="G373" s="16" t="str">
        <f>IF(ISBLANK(E373), "", F373 * VLOOKUP(E373, Estoque_Cadastro!$B$2:$C$100, 2, FALSE))</f>
        <v/>
      </c>
    </row>
    <row r="374" spans="1:7" ht="24.95" customHeight="1" x14ac:dyDescent="0.3">
      <c r="A374" s="14"/>
      <c r="B374" s="15" t="str">
        <f t="shared" si="5"/>
        <v/>
      </c>
      <c r="C374" s="15"/>
      <c r="D374" s="15"/>
      <c r="E374" s="15"/>
      <c r="F374" s="15"/>
      <c r="G374" s="16" t="str">
        <f>IF(ISBLANK(E374), "", F374 * VLOOKUP(E374, Estoque_Cadastro!$B$2:$C$100, 2, FALSE))</f>
        <v/>
      </c>
    </row>
    <row r="375" spans="1:7" ht="24.95" customHeight="1" x14ac:dyDescent="0.3">
      <c r="A375" s="14"/>
      <c r="B375" s="15" t="str">
        <f t="shared" si="5"/>
        <v/>
      </c>
      <c r="C375" s="15"/>
      <c r="D375" s="15"/>
      <c r="E375" s="15"/>
      <c r="F375" s="15"/>
      <c r="G375" s="16" t="str">
        <f>IF(ISBLANK(E375), "", F375 * VLOOKUP(E375, Estoque_Cadastro!$B$2:$C$100, 2, FALSE))</f>
        <v/>
      </c>
    </row>
    <row r="376" spans="1:7" ht="24.95" customHeight="1" x14ac:dyDescent="0.3">
      <c r="A376" s="14"/>
      <c r="B376" s="15" t="str">
        <f t="shared" si="5"/>
        <v/>
      </c>
      <c r="C376" s="15"/>
      <c r="D376" s="15"/>
      <c r="E376" s="15"/>
      <c r="F376" s="15"/>
      <c r="G376" s="16" t="str">
        <f>IF(ISBLANK(E376), "", F376 * VLOOKUP(E376, Estoque_Cadastro!$B$2:$C$100, 2, FALSE))</f>
        <v/>
      </c>
    </row>
    <row r="377" spans="1:7" ht="24.95" customHeight="1" x14ac:dyDescent="0.3">
      <c r="A377" s="14"/>
      <c r="B377" s="15" t="str">
        <f t="shared" si="5"/>
        <v/>
      </c>
      <c r="C377" s="15"/>
      <c r="D377" s="15"/>
      <c r="E377" s="15"/>
      <c r="F377" s="15"/>
      <c r="G377" s="16" t="str">
        <f>IF(ISBLANK(E377), "", F377 * VLOOKUP(E377, Estoque_Cadastro!$B$2:$C$100, 2, FALSE))</f>
        <v/>
      </c>
    </row>
    <row r="378" spans="1:7" ht="24.95" customHeight="1" x14ac:dyDescent="0.3">
      <c r="A378" s="14"/>
      <c r="B378" s="15" t="str">
        <f t="shared" si="5"/>
        <v/>
      </c>
      <c r="C378" s="15"/>
      <c r="D378" s="15"/>
      <c r="E378" s="15"/>
      <c r="F378" s="15"/>
      <c r="G378" s="16" t="str">
        <f>IF(ISBLANK(E378), "", F378 * VLOOKUP(E378, Estoque_Cadastro!$B$2:$C$100, 2, FALSE))</f>
        <v/>
      </c>
    </row>
    <row r="379" spans="1:7" ht="24.95" customHeight="1" x14ac:dyDescent="0.3">
      <c r="A379" s="14"/>
      <c r="B379" s="15" t="str">
        <f t="shared" si="5"/>
        <v/>
      </c>
      <c r="C379" s="15"/>
      <c r="D379" s="15"/>
      <c r="E379" s="15"/>
      <c r="F379" s="15"/>
      <c r="G379" s="16" t="str">
        <f>IF(ISBLANK(E379), "", F379 * VLOOKUP(E379, Estoque_Cadastro!$B$2:$C$100, 2, FALSE))</f>
        <v/>
      </c>
    </row>
    <row r="380" spans="1:7" ht="24.95" customHeight="1" x14ac:dyDescent="0.3">
      <c r="A380" s="14"/>
      <c r="B380" s="15" t="str">
        <f t="shared" si="5"/>
        <v/>
      </c>
      <c r="C380" s="15"/>
      <c r="D380" s="15"/>
      <c r="E380" s="15"/>
      <c r="F380" s="15"/>
      <c r="G380" s="16" t="str">
        <f>IF(ISBLANK(E380), "", F380 * VLOOKUP(E380, Estoque_Cadastro!$B$2:$C$100, 2, FALSE))</f>
        <v/>
      </c>
    </row>
    <row r="381" spans="1:7" ht="24.95" customHeight="1" x14ac:dyDescent="0.3">
      <c r="A381" s="14"/>
      <c r="B381" s="15" t="str">
        <f t="shared" si="5"/>
        <v/>
      </c>
      <c r="C381" s="15"/>
      <c r="D381" s="15"/>
      <c r="E381" s="15"/>
      <c r="F381" s="15"/>
      <c r="G381" s="16" t="str">
        <f>IF(ISBLANK(E381), "", F381 * VLOOKUP(E381, Estoque_Cadastro!$B$2:$C$100, 2, FALSE))</f>
        <v/>
      </c>
    </row>
    <row r="382" spans="1:7" ht="24.95" customHeight="1" x14ac:dyDescent="0.3">
      <c r="A382" s="14"/>
      <c r="B382" s="15" t="str">
        <f t="shared" si="5"/>
        <v/>
      </c>
      <c r="C382" s="15"/>
      <c r="D382" s="15"/>
      <c r="E382" s="15"/>
      <c r="F382" s="15"/>
      <c r="G382" s="16" t="str">
        <f>IF(ISBLANK(E382), "", F382 * VLOOKUP(E382, Estoque_Cadastro!$B$2:$C$100, 2, FALSE))</f>
        <v/>
      </c>
    </row>
    <row r="383" spans="1:7" ht="24.95" customHeight="1" x14ac:dyDescent="0.3">
      <c r="A383" s="14"/>
      <c r="B383" s="15" t="str">
        <f t="shared" si="5"/>
        <v/>
      </c>
      <c r="C383" s="15"/>
      <c r="D383" s="15"/>
      <c r="E383" s="15"/>
      <c r="F383" s="15"/>
      <c r="G383" s="16" t="str">
        <f>IF(ISBLANK(E383), "", F383 * VLOOKUP(E383, Estoque_Cadastro!$B$2:$C$100, 2, FALSE))</f>
        <v/>
      </c>
    </row>
    <row r="384" spans="1:7" ht="24.95" customHeight="1" x14ac:dyDescent="0.3">
      <c r="A384" s="14"/>
      <c r="B384" s="15" t="str">
        <f t="shared" si="5"/>
        <v/>
      </c>
      <c r="C384" s="15"/>
      <c r="D384" s="15"/>
      <c r="E384" s="15"/>
      <c r="F384" s="15"/>
      <c r="G384" s="16" t="str">
        <f>IF(ISBLANK(E384), "", F384 * VLOOKUP(E384, Estoque_Cadastro!$B$2:$C$100, 2, FALSE))</f>
        <v/>
      </c>
    </row>
    <row r="385" spans="1:7" ht="24.95" customHeight="1" x14ac:dyDescent="0.3">
      <c r="A385" s="14"/>
      <c r="B385" s="15" t="str">
        <f t="shared" si="5"/>
        <v/>
      </c>
      <c r="C385" s="15"/>
      <c r="D385" s="15"/>
      <c r="E385" s="15"/>
      <c r="F385" s="15"/>
      <c r="G385" s="16" t="str">
        <f>IF(ISBLANK(E385), "", F385 * VLOOKUP(E385, Estoque_Cadastro!$B$2:$C$100, 2, FALSE))</f>
        <v/>
      </c>
    </row>
    <row r="386" spans="1:7" ht="24.95" customHeight="1" x14ac:dyDescent="0.3">
      <c r="A386" s="14"/>
      <c r="B386" s="15" t="str">
        <f t="shared" ref="B386:B449" si="6">IF(A386="","", MONTH(A386))</f>
        <v/>
      </c>
      <c r="C386" s="15"/>
      <c r="D386" s="15"/>
      <c r="E386" s="15"/>
      <c r="F386" s="15"/>
      <c r="G386" s="16" t="str">
        <f>IF(ISBLANK(E386), "", F386 * VLOOKUP(E386, Estoque_Cadastro!$B$2:$C$100, 2, FALSE))</f>
        <v/>
      </c>
    </row>
    <row r="387" spans="1:7" ht="24.95" customHeight="1" x14ac:dyDescent="0.3">
      <c r="A387" s="14"/>
      <c r="B387" s="15" t="str">
        <f t="shared" si="6"/>
        <v/>
      </c>
      <c r="C387" s="15"/>
      <c r="D387" s="15"/>
      <c r="E387" s="15"/>
      <c r="F387" s="15"/>
      <c r="G387" s="16" t="str">
        <f>IF(ISBLANK(E387), "", F387 * VLOOKUP(E387, Estoque_Cadastro!$B$2:$C$100, 2, FALSE))</f>
        <v/>
      </c>
    </row>
    <row r="388" spans="1:7" ht="24.95" customHeight="1" x14ac:dyDescent="0.3">
      <c r="A388" s="14"/>
      <c r="B388" s="15" t="str">
        <f t="shared" si="6"/>
        <v/>
      </c>
      <c r="C388" s="15"/>
      <c r="D388" s="15"/>
      <c r="E388" s="15"/>
      <c r="F388" s="15"/>
      <c r="G388" s="16" t="str">
        <f>IF(ISBLANK(E388), "", F388 * VLOOKUP(E388, Estoque_Cadastro!$B$2:$C$100, 2, FALSE))</f>
        <v/>
      </c>
    </row>
    <row r="389" spans="1:7" ht="24.95" customHeight="1" x14ac:dyDescent="0.3">
      <c r="A389" s="14"/>
      <c r="B389" s="15" t="str">
        <f t="shared" si="6"/>
        <v/>
      </c>
      <c r="C389" s="15"/>
      <c r="D389" s="15"/>
      <c r="E389" s="15"/>
      <c r="F389" s="15"/>
      <c r="G389" s="16" t="str">
        <f>IF(ISBLANK(E389), "", F389 * VLOOKUP(E389, Estoque_Cadastro!$B$2:$C$100, 2, FALSE))</f>
        <v/>
      </c>
    </row>
    <row r="390" spans="1:7" ht="24.95" customHeight="1" x14ac:dyDescent="0.3">
      <c r="A390" s="14"/>
      <c r="B390" s="15" t="str">
        <f t="shared" si="6"/>
        <v/>
      </c>
      <c r="C390" s="15"/>
      <c r="D390" s="15"/>
      <c r="E390" s="15"/>
      <c r="F390" s="15"/>
      <c r="G390" s="16" t="str">
        <f>IF(ISBLANK(E390), "", F390 * VLOOKUP(E390, Estoque_Cadastro!$B$2:$C$100, 2, FALSE))</f>
        <v/>
      </c>
    </row>
    <row r="391" spans="1:7" ht="24.95" customHeight="1" x14ac:dyDescent="0.3">
      <c r="A391" s="14"/>
      <c r="B391" s="15" t="str">
        <f t="shared" si="6"/>
        <v/>
      </c>
      <c r="C391" s="15"/>
      <c r="D391" s="15"/>
      <c r="E391" s="15"/>
      <c r="F391" s="15"/>
      <c r="G391" s="16" t="str">
        <f>IF(ISBLANK(E391), "", F391 * VLOOKUP(E391, Estoque_Cadastro!$B$2:$C$100, 2, FALSE))</f>
        <v/>
      </c>
    </row>
    <row r="392" spans="1:7" ht="24.95" customHeight="1" x14ac:dyDescent="0.3">
      <c r="A392" s="14"/>
      <c r="B392" s="15" t="str">
        <f t="shared" si="6"/>
        <v/>
      </c>
      <c r="C392" s="15"/>
      <c r="D392" s="15"/>
      <c r="E392" s="15"/>
      <c r="F392" s="15"/>
      <c r="G392" s="16" t="str">
        <f>IF(ISBLANK(E392), "", F392 * VLOOKUP(E392, Estoque_Cadastro!$B$2:$C$100, 2, FALSE))</f>
        <v/>
      </c>
    </row>
    <row r="393" spans="1:7" ht="24.95" customHeight="1" x14ac:dyDescent="0.3">
      <c r="A393" s="14"/>
      <c r="B393" s="15" t="str">
        <f t="shared" si="6"/>
        <v/>
      </c>
      <c r="C393" s="15"/>
      <c r="D393" s="15"/>
      <c r="E393" s="15"/>
      <c r="F393" s="15"/>
      <c r="G393" s="16" t="str">
        <f>IF(ISBLANK(E393), "", F393 * VLOOKUP(E393, Estoque_Cadastro!$B$2:$C$100, 2, FALSE))</f>
        <v/>
      </c>
    </row>
    <row r="394" spans="1:7" ht="24.95" customHeight="1" x14ac:dyDescent="0.3">
      <c r="A394" s="14"/>
      <c r="B394" s="15" t="str">
        <f t="shared" si="6"/>
        <v/>
      </c>
      <c r="C394" s="15"/>
      <c r="D394" s="15"/>
      <c r="E394" s="15"/>
      <c r="F394" s="15"/>
      <c r="G394" s="16" t="str">
        <f>IF(ISBLANK(E394), "", F394 * VLOOKUP(E394, Estoque_Cadastro!$B$2:$C$100, 2, FALSE))</f>
        <v/>
      </c>
    </row>
    <row r="395" spans="1:7" ht="24.95" customHeight="1" x14ac:dyDescent="0.3">
      <c r="A395" s="14"/>
      <c r="B395" s="15" t="str">
        <f t="shared" si="6"/>
        <v/>
      </c>
      <c r="C395" s="15"/>
      <c r="D395" s="15"/>
      <c r="E395" s="15"/>
      <c r="F395" s="15"/>
      <c r="G395" s="16" t="str">
        <f>IF(ISBLANK(E395), "", F395 * VLOOKUP(E395, Estoque_Cadastro!$B$2:$C$100, 2, FALSE))</f>
        <v/>
      </c>
    </row>
    <row r="396" spans="1:7" ht="24.95" customHeight="1" x14ac:dyDescent="0.3">
      <c r="A396" s="14"/>
      <c r="B396" s="15" t="str">
        <f t="shared" si="6"/>
        <v/>
      </c>
      <c r="C396" s="15"/>
      <c r="D396" s="15"/>
      <c r="E396" s="15"/>
      <c r="F396" s="15"/>
      <c r="G396" s="16" t="str">
        <f>IF(ISBLANK(E396), "", F396 * VLOOKUP(E396, Estoque_Cadastro!$B$2:$C$100, 2, FALSE))</f>
        <v/>
      </c>
    </row>
    <row r="397" spans="1:7" ht="24.95" customHeight="1" x14ac:dyDescent="0.3">
      <c r="A397" s="14"/>
      <c r="B397" s="15" t="str">
        <f t="shared" si="6"/>
        <v/>
      </c>
      <c r="C397" s="15"/>
      <c r="D397" s="15"/>
      <c r="E397" s="15"/>
      <c r="F397" s="15"/>
      <c r="G397" s="16" t="str">
        <f>IF(ISBLANK(E397), "", F397 * VLOOKUP(E397, Estoque_Cadastro!$B$2:$C$100, 2, FALSE))</f>
        <v/>
      </c>
    </row>
    <row r="398" spans="1:7" ht="24.95" customHeight="1" x14ac:dyDescent="0.3">
      <c r="A398" s="14"/>
      <c r="B398" s="15" t="str">
        <f t="shared" si="6"/>
        <v/>
      </c>
      <c r="C398" s="15"/>
      <c r="D398" s="15"/>
      <c r="E398" s="15"/>
      <c r="F398" s="15"/>
      <c r="G398" s="16" t="str">
        <f>IF(ISBLANK(E398), "", F398 * VLOOKUP(E398, Estoque_Cadastro!$B$2:$C$100, 2, FALSE))</f>
        <v/>
      </c>
    </row>
    <row r="399" spans="1:7" ht="24.95" customHeight="1" x14ac:dyDescent="0.3">
      <c r="A399" s="14"/>
      <c r="B399" s="15" t="str">
        <f t="shared" si="6"/>
        <v/>
      </c>
      <c r="C399" s="15"/>
      <c r="D399" s="15"/>
      <c r="E399" s="15"/>
      <c r="F399" s="15"/>
      <c r="G399" s="16" t="str">
        <f>IF(ISBLANK(E399), "", F399 * VLOOKUP(E399, Estoque_Cadastro!$B$2:$C$100, 2, FALSE))</f>
        <v/>
      </c>
    </row>
    <row r="400" spans="1:7" ht="24.95" customHeight="1" x14ac:dyDescent="0.3">
      <c r="A400" s="14"/>
      <c r="B400" s="15" t="str">
        <f t="shared" si="6"/>
        <v/>
      </c>
      <c r="C400" s="15"/>
      <c r="D400" s="15"/>
      <c r="E400" s="15"/>
      <c r="F400" s="15"/>
      <c r="G400" s="16" t="str">
        <f>IF(ISBLANK(E400), "", F400 * VLOOKUP(E400, Estoque_Cadastro!$B$2:$C$100, 2, FALSE))</f>
        <v/>
      </c>
    </row>
    <row r="401" spans="1:7" ht="24.95" customHeight="1" x14ac:dyDescent="0.3">
      <c r="A401" s="14"/>
      <c r="B401" s="15" t="str">
        <f t="shared" si="6"/>
        <v/>
      </c>
      <c r="C401" s="15"/>
      <c r="D401" s="15"/>
      <c r="E401" s="15"/>
      <c r="F401" s="15"/>
      <c r="G401" s="16" t="str">
        <f>IF(ISBLANK(E401), "", F401 * VLOOKUP(E401, Estoque_Cadastro!$B$2:$C$100, 2, FALSE))</f>
        <v/>
      </c>
    </row>
    <row r="402" spans="1:7" ht="24.95" customHeight="1" x14ac:dyDescent="0.3">
      <c r="A402" s="14"/>
      <c r="B402" s="15" t="str">
        <f t="shared" si="6"/>
        <v/>
      </c>
      <c r="C402" s="15"/>
      <c r="D402" s="15"/>
      <c r="E402" s="15"/>
      <c r="F402" s="15"/>
      <c r="G402" s="16" t="str">
        <f>IF(ISBLANK(E402), "", F402 * VLOOKUP(E402, Estoque_Cadastro!$B$2:$C$100, 2, FALSE))</f>
        <v/>
      </c>
    </row>
    <row r="403" spans="1:7" ht="24.95" customHeight="1" x14ac:dyDescent="0.3">
      <c r="A403" s="14"/>
      <c r="B403" s="15" t="str">
        <f t="shared" si="6"/>
        <v/>
      </c>
      <c r="C403" s="15"/>
      <c r="D403" s="15"/>
      <c r="E403" s="15"/>
      <c r="F403" s="15"/>
      <c r="G403" s="16" t="str">
        <f>IF(ISBLANK(E403), "", F403 * VLOOKUP(E403, Estoque_Cadastro!$B$2:$C$100, 2, FALSE))</f>
        <v/>
      </c>
    </row>
    <row r="404" spans="1:7" ht="24.95" customHeight="1" x14ac:dyDescent="0.3">
      <c r="A404" s="14"/>
      <c r="B404" s="15" t="str">
        <f t="shared" si="6"/>
        <v/>
      </c>
      <c r="C404" s="15"/>
      <c r="D404" s="15"/>
      <c r="E404" s="15"/>
      <c r="F404" s="15"/>
      <c r="G404" s="16" t="str">
        <f>IF(ISBLANK(E404), "", F404 * VLOOKUP(E404, Estoque_Cadastro!$B$2:$C$100, 2, FALSE))</f>
        <v/>
      </c>
    </row>
    <row r="405" spans="1:7" ht="24.95" customHeight="1" x14ac:dyDescent="0.3">
      <c r="A405" s="14"/>
      <c r="B405" s="15" t="str">
        <f t="shared" si="6"/>
        <v/>
      </c>
      <c r="C405" s="15"/>
      <c r="D405" s="15"/>
      <c r="E405" s="15"/>
      <c r="F405" s="15"/>
      <c r="G405" s="16" t="str">
        <f>IF(ISBLANK(E405), "", F405 * VLOOKUP(E405, Estoque_Cadastro!$B$2:$C$100, 2, FALSE))</f>
        <v/>
      </c>
    </row>
    <row r="406" spans="1:7" ht="24.95" customHeight="1" x14ac:dyDescent="0.3">
      <c r="A406" s="14"/>
      <c r="B406" s="15" t="str">
        <f t="shared" si="6"/>
        <v/>
      </c>
      <c r="C406" s="15"/>
      <c r="D406" s="15"/>
      <c r="E406" s="15"/>
      <c r="F406" s="15"/>
      <c r="G406" s="16" t="str">
        <f>IF(ISBLANK(E406), "", F406 * VLOOKUP(E406, Estoque_Cadastro!$B$2:$C$100, 2, FALSE))</f>
        <v/>
      </c>
    </row>
    <row r="407" spans="1:7" ht="24.95" customHeight="1" x14ac:dyDescent="0.3">
      <c r="A407" s="14"/>
      <c r="B407" s="15" t="str">
        <f t="shared" si="6"/>
        <v/>
      </c>
      <c r="C407" s="15"/>
      <c r="D407" s="15"/>
      <c r="E407" s="15"/>
      <c r="F407" s="15"/>
      <c r="G407" s="16" t="str">
        <f>IF(ISBLANK(E407), "", F407 * VLOOKUP(E407, Estoque_Cadastro!$B$2:$C$100, 2, FALSE))</f>
        <v/>
      </c>
    </row>
    <row r="408" spans="1:7" ht="24.95" customHeight="1" x14ac:dyDescent="0.3">
      <c r="A408" s="14"/>
      <c r="B408" s="15" t="str">
        <f t="shared" si="6"/>
        <v/>
      </c>
      <c r="C408" s="15"/>
      <c r="D408" s="15"/>
      <c r="E408" s="15"/>
      <c r="F408" s="15"/>
      <c r="G408" s="16" t="str">
        <f>IF(ISBLANK(E408), "", F408 * VLOOKUP(E408, Estoque_Cadastro!$B$2:$C$100, 2, FALSE))</f>
        <v/>
      </c>
    </row>
    <row r="409" spans="1:7" ht="24.95" customHeight="1" x14ac:dyDescent="0.3">
      <c r="A409" s="14"/>
      <c r="B409" s="15" t="str">
        <f t="shared" si="6"/>
        <v/>
      </c>
      <c r="C409" s="15"/>
      <c r="D409" s="15"/>
      <c r="E409" s="15"/>
      <c r="F409" s="15"/>
      <c r="G409" s="16" t="str">
        <f>IF(ISBLANK(E409), "", F409 * VLOOKUP(E409, Estoque_Cadastro!$B$2:$C$100, 2, FALSE))</f>
        <v/>
      </c>
    </row>
    <row r="410" spans="1:7" ht="24.95" customHeight="1" x14ac:dyDescent="0.3">
      <c r="A410" s="14"/>
      <c r="B410" s="15" t="str">
        <f t="shared" si="6"/>
        <v/>
      </c>
      <c r="C410" s="15"/>
      <c r="D410" s="15"/>
      <c r="E410" s="15"/>
      <c r="F410" s="15"/>
      <c r="G410" s="16" t="str">
        <f>IF(ISBLANK(E410), "", F410 * VLOOKUP(E410, Estoque_Cadastro!$B$2:$C$100, 2, FALSE))</f>
        <v/>
      </c>
    </row>
    <row r="411" spans="1:7" ht="24.95" customHeight="1" x14ac:dyDescent="0.3">
      <c r="A411" s="14"/>
      <c r="B411" s="15" t="str">
        <f t="shared" si="6"/>
        <v/>
      </c>
      <c r="C411" s="15"/>
      <c r="D411" s="15"/>
      <c r="E411" s="15"/>
      <c r="F411" s="15"/>
      <c r="G411" s="16" t="str">
        <f>IF(ISBLANK(E411), "", F411 * VLOOKUP(E411, Estoque_Cadastro!$B$2:$C$100, 2, FALSE))</f>
        <v/>
      </c>
    </row>
    <row r="412" spans="1:7" ht="24.95" customHeight="1" x14ac:dyDescent="0.3">
      <c r="A412" s="14"/>
      <c r="B412" s="15" t="str">
        <f t="shared" si="6"/>
        <v/>
      </c>
      <c r="C412" s="15"/>
      <c r="D412" s="15"/>
      <c r="E412" s="15"/>
      <c r="F412" s="15"/>
      <c r="G412" s="16" t="str">
        <f>IF(ISBLANK(E412), "", F412 * VLOOKUP(E412, Estoque_Cadastro!$B$2:$C$100, 2, FALSE))</f>
        <v/>
      </c>
    </row>
    <row r="413" spans="1:7" ht="24.95" customHeight="1" x14ac:dyDescent="0.3">
      <c r="A413" s="14"/>
      <c r="B413" s="15" t="str">
        <f t="shared" si="6"/>
        <v/>
      </c>
      <c r="C413" s="15"/>
      <c r="D413" s="15"/>
      <c r="E413" s="15"/>
      <c r="F413" s="15"/>
      <c r="G413" s="16" t="str">
        <f>IF(ISBLANK(E413), "", F413 * VLOOKUP(E413, Estoque_Cadastro!$B$2:$C$100, 2, FALSE))</f>
        <v/>
      </c>
    </row>
    <row r="414" spans="1:7" ht="24.95" customHeight="1" x14ac:dyDescent="0.3">
      <c r="A414" s="14"/>
      <c r="B414" s="15" t="str">
        <f t="shared" si="6"/>
        <v/>
      </c>
      <c r="C414" s="15"/>
      <c r="D414" s="15"/>
      <c r="E414" s="15"/>
      <c r="F414" s="15"/>
      <c r="G414" s="16" t="str">
        <f>IF(ISBLANK(E414), "", F414 * VLOOKUP(E414, Estoque_Cadastro!$B$2:$C$100, 2, FALSE))</f>
        <v/>
      </c>
    </row>
    <row r="415" spans="1:7" ht="24.95" customHeight="1" x14ac:dyDescent="0.3">
      <c r="A415" s="14"/>
      <c r="B415" s="15" t="str">
        <f t="shared" si="6"/>
        <v/>
      </c>
      <c r="C415" s="15"/>
      <c r="D415" s="15"/>
      <c r="E415" s="15"/>
      <c r="F415" s="15"/>
      <c r="G415" s="16" t="str">
        <f>IF(ISBLANK(E415), "", F415 * VLOOKUP(E415, Estoque_Cadastro!$B$2:$C$100, 2, FALSE))</f>
        <v/>
      </c>
    </row>
    <row r="416" spans="1:7" ht="24.95" customHeight="1" x14ac:dyDescent="0.3">
      <c r="A416" s="14"/>
      <c r="B416" s="15" t="str">
        <f t="shared" si="6"/>
        <v/>
      </c>
      <c r="C416" s="15"/>
      <c r="D416" s="15"/>
      <c r="E416" s="15"/>
      <c r="F416" s="15"/>
      <c r="G416" s="16" t="str">
        <f>IF(ISBLANK(E416), "", F416 * VLOOKUP(E416, Estoque_Cadastro!$B$2:$C$100, 2, FALSE))</f>
        <v/>
      </c>
    </row>
    <row r="417" spans="1:7" ht="24.95" customHeight="1" x14ac:dyDescent="0.3">
      <c r="A417" s="14"/>
      <c r="B417" s="15" t="str">
        <f t="shared" si="6"/>
        <v/>
      </c>
      <c r="C417" s="15"/>
      <c r="D417" s="15"/>
      <c r="E417" s="15"/>
      <c r="F417" s="15"/>
      <c r="G417" s="16" t="str">
        <f>IF(ISBLANK(E417), "", F417 * VLOOKUP(E417, Estoque_Cadastro!$B$2:$C$100, 2, FALSE))</f>
        <v/>
      </c>
    </row>
    <row r="418" spans="1:7" ht="24.95" customHeight="1" x14ac:dyDescent="0.3">
      <c r="A418" s="14"/>
      <c r="B418" s="15" t="str">
        <f t="shared" si="6"/>
        <v/>
      </c>
      <c r="C418" s="15"/>
      <c r="D418" s="15"/>
      <c r="E418" s="15"/>
      <c r="F418" s="15"/>
      <c r="G418" s="16" t="str">
        <f>IF(ISBLANK(E418), "", F418 * VLOOKUP(E418, Estoque_Cadastro!$B$2:$C$100, 2, FALSE))</f>
        <v/>
      </c>
    </row>
    <row r="419" spans="1:7" ht="24.95" customHeight="1" x14ac:dyDescent="0.3">
      <c r="A419" s="14"/>
      <c r="B419" s="15" t="str">
        <f t="shared" si="6"/>
        <v/>
      </c>
      <c r="C419" s="15"/>
      <c r="D419" s="15"/>
      <c r="E419" s="15"/>
      <c r="F419" s="15"/>
      <c r="G419" s="16" t="str">
        <f>IF(ISBLANK(E419), "", F419 * VLOOKUP(E419, Estoque_Cadastro!$B$2:$C$100, 2, FALSE))</f>
        <v/>
      </c>
    </row>
    <row r="420" spans="1:7" ht="24.95" customHeight="1" x14ac:dyDescent="0.3">
      <c r="A420" s="14"/>
      <c r="B420" s="15" t="str">
        <f t="shared" si="6"/>
        <v/>
      </c>
      <c r="C420" s="15"/>
      <c r="D420" s="15"/>
      <c r="E420" s="15"/>
      <c r="F420" s="15"/>
      <c r="G420" s="16" t="str">
        <f>IF(ISBLANK(E420), "", F420 * VLOOKUP(E420, Estoque_Cadastro!$B$2:$C$100, 2, FALSE))</f>
        <v/>
      </c>
    </row>
    <row r="421" spans="1:7" ht="24.95" customHeight="1" x14ac:dyDescent="0.3">
      <c r="A421" s="14"/>
      <c r="B421" s="15" t="str">
        <f t="shared" si="6"/>
        <v/>
      </c>
      <c r="C421" s="15"/>
      <c r="D421" s="15"/>
      <c r="E421" s="15"/>
      <c r="F421" s="15"/>
      <c r="G421" s="16" t="str">
        <f>IF(ISBLANK(E421), "", F421 * VLOOKUP(E421, Estoque_Cadastro!$B$2:$C$100, 2, FALSE))</f>
        <v/>
      </c>
    </row>
    <row r="422" spans="1:7" ht="24.95" customHeight="1" x14ac:dyDescent="0.3">
      <c r="A422" s="14"/>
      <c r="B422" s="15" t="str">
        <f t="shared" si="6"/>
        <v/>
      </c>
      <c r="C422" s="15"/>
      <c r="D422" s="15"/>
      <c r="E422" s="15"/>
      <c r="F422" s="15"/>
      <c r="G422" s="16" t="str">
        <f>IF(ISBLANK(E422), "", F422 * VLOOKUP(E422, Estoque_Cadastro!$B$2:$C$100, 2, FALSE))</f>
        <v/>
      </c>
    </row>
    <row r="423" spans="1:7" ht="24.95" customHeight="1" x14ac:dyDescent="0.3">
      <c r="A423" s="14"/>
      <c r="B423" s="15" t="str">
        <f t="shared" si="6"/>
        <v/>
      </c>
      <c r="C423" s="15"/>
      <c r="D423" s="15"/>
      <c r="E423" s="15"/>
      <c r="F423" s="15"/>
      <c r="G423" s="16" t="str">
        <f>IF(ISBLANK(E423), "", F423 * VLOOKUP(E423, Estoque_Cadastro!$B$2:$C$100, 2, FALSE))</f>
        <v/>
      </c>
    </row>
    <row r="424" spans="1:7" ht="24.95" customHeight="1" x14ac:dyDescent="0.3">
      <c r="A424" s="14"/>
      <c r="B424" s="15" t="str">
        <f t="shared" si="6"/>
        <v/>
      </c>
      <c r="C424" s="15"/>
      <c r="D424" s="15"/>
      <c r="E424" s="15"/>
      <c r="F424" s="15"/>
      <c r="G424" s="16" t="str">
        <f>IF(ISBLANK(E424), "", F424 * VLOOKUP(E424, Estoque_Cadastro!$B$2:$C$100, 2, FALSE))</f>
        <v/>
      </c>
    </row>
    <row r="425" spans="1:7" ht="24.95" customHeight="1" x14ac:dyDescent="0.3">
      <c r="A425" s="14"/>
      <c r="B425" s="15" t="str">
        <f t="shared" si="6"/>
        <v/>
      </c>
      <c r="C425" s="15"/>
      <c r="D425" s="15"/>
      <c r="E425" s="15"/>
      <c r="F425" s="15"/>
      <c r="G425" s="16" t="str">
        <f>IF(ISBLANK(E425), "", F425 * VLOOKUP(E425, Estoque_Cadastro!$B$2:$C$100, 2, FALSE))</f>
        <v/>
      </c>
    </row>
    <row r="426" spans="1:7" ht="24.95" customHeight="1" x14ac:dyDescent="0.3">
      <c r="A426" s="14"/>
      <c r="B426" s="15" t="str">
        <f t="shared" si="6"/>
        <v/>
      </c>
      <c r="C426" s="15"/>
      <c r="D426" s="15"/>
      <c r="E426" s="15"/>
      <c r="F426" s="15"/>
      <c r="G426" s="16" t="str">
        <f>IF(ISBLANK(E426), "", F426 * VLOOKUP(E426, Estoque_Cadastro!$B$2:$C$100, 2, FALSE))</f>
        <v/>
      </c>
    </row>
    <row r="427" spans="1:7" ht="24.95" customHeight="1" x14ac:dyDescent="0.3">
      <c r="A427" s="14"/>
      <c r="B427" s="15" t="str">
        <f t="shared" si="6"/>
        <v/>
      </c>
      <c r="C427" s="15"/>
      <c r="D427" s="15"/>
      <c r="E427" s="15"/>
      <c r="F427" s="15"/>
      <c r="G427" s="16" t="str">
        <f>IF(ISBLANK(E427), "", F427 * VLOOKUP(E427, Estoque_Cadastro!$B$2:$C$100, 2, FALSE))</f>
        <v/>
      </c>
    </row>
    <row r="428" spans="1:7" ht="24.95" customHeight="1" x14ac:dyDescent="0.3">
      <c r="A428" s="14"/>
      <c r="B428" s="15" t="str">
        <f t="shared" si="6"/>
        <v/>
      </c>
      <c r="C428" s="15"/>
      <c r="D428" s="15"/>
      <c r="E428" s="15"/>
      <c r="F428" s="15"/>
      <c r="G428" s="16" t="str">
        <f>IF(ISBLANK(E428), "", F428 * VLOOKUP(E428, Estoque_Cadastro!$B$2:$C$100, 2, FALSE))</f>
        <v/>
      </c>
    </row>
    <row r="429" spans="1:7" ht="24.95" customHeight="1" x14ac:dyDescent="0.3">
      <c r="A429" s="14"/>
      <c r="B429" s="15" t="str">
        <f t="shared" si="6"/>
        <v/>
      </c>
      <c r="C429" s="15"/>
      <c r="D429" s="15"/>
      <c r="E429" s="15"/>
      <c r="F429" s="15"/>
      <c r="G429" s="16" t="str">
        <f>IF(ISBLANK(E429), "", F429 * VLOOKUP(E429, Estoque_Cadastro!$B$2:$C$100, 2, FALSE))</f>
        <v/>
      </c>
    </row>
    <row r="430" spans="1:7" ht="24.95" customHeight="1" x14ac:dyDescent="0.3">
      <c r="A430" s="14"/>
      <c r="B430" s="15" t="str">
        <f t="shared" si="6"/>
        <v/>
      </c>
      <c r="C430" s="15"/>
      <c r="D430" s="15"/>
      <c r="E430" s="15"/>
      <c r="F430" s="15"/>
      <c r="G430" s="16" t="str">
        <f>IF(ISBLANK(E430), "", F430 * VLOOKUP(E430, Estoque_Cadastro!$B$2:$C$100, 2, FALSE))</f>
        <v/>
      </c>
    </row>
    <row r="431" spans="1:7" ht="24.95" customHeight="1" x14ac:dyDescent="0.3">
      <c r="A431" s="14"/>
      <c r="B431" s="15" t="str">
        <f t="shared" si="6"/>
        <v/>
      </c>
      <c r="C431" s="15"/>
      <c r="D431" s="15"/>
      <c r="E431" s="15"/>
      <c r="F431" s="15"/>
      <c r="G431" s="16" t="str">
        <f>IF(ISBLANK(E431), "", F431 * VLOOKUP(E431, Estoque_Cadastro!$B$2:$C$100, 2, FALSE))</f>
        <v/>
      </c>
    </row>
    <row r="432" spans="1:7" ht="24.95" customHeight="1" x14ac:dyDescent="0.3">
      <c r="A432" s="14"/>
      <c r="B432" s="15" t="str">
        <f t="shared" si="6"/>
        <v/>
      </c>
      <c r="C432" s="15"/>
      <c r="D432" s="15"/>
      <c r="E432" s="15"/>
      <c r="F432" s="15"/>
      <c r="G432" s="16" t="str">
        <f>IF(ISBLANK(E432), "", F432 * VLOOKUP(E432, Estoque_Cadastro!$B$2:$C$100, 2, FALSE))</f>
        <v/>
      </c>
    </row>
    <row r="433" spans="1:7" ht="24.95" customHeight="1" x14ac:dyDescent="0.3">
      <c r="A433" s="14"/>
      <c r="B433" s="15" t="str">
        <f t="shared" si="6"/>
        <v/>
      </c>
      <c r="C433" s="15"/>
      <c r="D433" s="15"/>
      <c r="E433" s="15"/>
      <c r="F433" s="15"/>
      <c r="G433" s="16" t="str">
        <f>IF(ISBLANK(E433), "", F433 * VLOOKUP(E433, Estoque_Cadastro!$B$2:$C$100, 2, FALSE))</f>
        <v/>
      </c>
    </row>
    <row r="434" spans="1:7" ht="24.95" customHeight="1" x14ac:dyDescent="0.3">
      <c r="A434" s="14"/>
      <c r="B434" s="15" t="str">
        <f t="shared" si="6"/>
        <v/>
      </c>
      <c r="C434" s="15"/>
      <c r="D434" s="15"/>
      <c r="E434" s="15"/>
      <c r="F434" s="15"/>
      <c r="G434" s="16" t="str">
        <f>IF(ISBLANK(E434), "", F434 * VLOOKUP(E434, Estoque_Cadastro!$B$2:$C$100, 2, FALSE))</f>
        <v/>
      </c>
    </row>
    <row r="435" spans="1:7" ht="24.95" customHeight="1" x14ac:dyDescent="0.3">
      <c r="A435" s="14"/>
      <c r="B435" s="15" t="str">
        <f t="shared" si="6"/>
        <v/>
      </c>
      <c r="C435" s="15"/>
      <c r="D435" s="15"/>
      <c r="E435" s="15"/>
      <c r="F435" s="15"/>
      <c r="G435" s="16" t="str">
        <f>IF(ISBLANK(E435), "", F435 * VLOOKUP(E435, Estoque_Cadastro!$B$2:$C$100, 2, FALSE))</f>
        <v/>
      </c>
    </row>
    <row r="436" spans="1:7" ht="24.95" customHeight="1" x14ac:dyDescent="0.3">
      <c r="A436" s="14"/>
      <c r="B436" s="15" t="str">
        <f t="shared" si="6"/>
        <v/>
      </c>
      <c r="C436" s="15"/>
      <c r="D436" s="15"/>
      <c r="E436" s="15"/>
      <c r="F436" s="15"/>
      <c r="G436" s="16" t="str">
        <f>IF(ISBLANK(E436), "", F436 * VLOOKUP(E436, Estoque_Cadastro!$B$2:$C$100, 2, FALSE))</f>
        <v/>
      </c>
    </row>
    <row r="437" spans="1:7" ht="24.95" customHeight="1" x14ac:dyDescent="0.3">
      <c r="A437" s="14"/>
      <c r="B437" s="15" t="str">
        <f t="shared" si="6"/>
        <v/>
      </c>
      <c r="C437" s="15"/>
      <c r="D437" s="15"/>
      <c r="E437" s="15"/>
      <c r="F437" s="15"/>
      <c r="G437" s="16" t="str">
        <f>IF(ISBLANK(E437), "", F437 * VLOOKUP(E437, Estoque_Cadastro!$B$2:$C$100, 2, FALSE))</f>
        <v/>
      </c>
    </row>
    <row r="438" spans="1:7" ht="24.95" customHeight="1" x14ac:dyDescent="0.3">
      <c r="A438" s="14"/>
      <c r="B438" s="15" t="str">
        <f t="shared" si="6"/>
        <v/>
      </c>
      <c r="C438" s="15"/>
      <c r="D438" s="15"/>
      <c r="E438" s="15"/>
      <c r="F438" s="15"/>
      <c r="G438" s="16" t="str">
        <f>IF(ISBLANK(E438), "", F438 * VLOOKUP(E438, Estoque_Cadastro!$B$2:$C$100, 2, FALSE))</f>
        <v/>
      </c>
    </row>
    <row r="439" spans="1:7" ht="24.95" customHeight="1" x14ac:dyDescent="0.3">
      <c r="A439" s="14"/>
      <c r="B439" s="15" t="str">
        <f t="shared" si="6"/>
        <v/>
      </c>
      <c r="C439" s="15"/>
      <c r="D439" s="15"/>
      <c r="E439" s="15"/>
      <c r="F439" s="15"/>
      <c r="G439" s="16" t="str">
        <f>IF(ISBLANK(E439), "", F439 * VLOOKUP(E439, Estoque_Cadastro!$B$2:$C$100, 2, FALSE))</f>
        <v/>
      </c>
    </row>
    <row r="440" spans="1:7" ht="24.95" customHeight="1" x14ac:dyDescent="0.3">
      <c r="A440" s="14"/>
      <c r="B440" s="15" t="str">
        <f t="shared" si="6"/>
        <v/>
      </c>
      <c r="C440" s="15"/>
      <c r="D440" s="15"/>
      <c r="E440" s="15"/>
      <c r="F440" s="15"/>
      <c r="G440" s="16" t="str">
        <f>IF(ISBLANK(E440), "", F440 * VLOOKUP(E440, Estoque_Cadastro!$B$2:$C$100, 2, FALSE))</f>
        <v/>
      </c>
    </row>
    <row r="441" spans="1:7" ht="24.95" customHeight="1" x14ac:dyDescent="0.3">
      <c r="A441" s="14"/>
      <c r="B441" s="15" t="str">
        <f t="shared" si="6"/>
        <v/>
      </c>
      <c r="C441" s="15"/>
      <c r="D441" s="15"/>
      <c r="E441" s="15"/>
      <c r="F441" s="15"/>
      <c r="G441" s="16" t="str">
        <f>IF(ISBLANK(E441), "", F441 * VLOOKUP(E441, Estoque_Cadastro!$B$2:$C$100, 2, FALSE))</f>
        <v/>
      </c>
    </row>
    <row r="442" spans="1:7" ht="24.95" customHeight="1" x14ac:dyDescent="0.3">
      <c r="A442" s="14"/>
      <c r="B442" s="15" t="str">
        <f t="shared" si="6"/>
        <v/>
      </c>
      <c r="C442" s="15"/>
      <c r="D442" s="15"/>
      <c r="E442" s="15"/>
      <c r="F442" s="15"/>
      <c r="G442" s="16" t="str">
        <f>IF(ISBLANK(E442), "", F442 * VLOOKUP(E442, Estoque_Cadastro!$B$2:$C$100, 2, FALSE))</f>
        <v/>
      </c>
    </row>
    <row r="443" spans="1:7" ht="24.95" customHeight="1" x14ac:dyDescent="0.3">
      <c r="A443" s="14"/>
      <c r="B443" s="15" t="str">
        <f t="shared" si="6"/>
        <v/>
      </c>
      <c r="C443" s="15"/>
      <c r="D443" s="15"/>
      <c r="E443" s="15"/>
      <c r="F443" s="15"/>
      <c r="G443" s="16" t="str">
        <f>IF(ISBLANK(E443), "", F443 * VLOOKUP(E443, Estoque_Cadastro!$B$2:$C$100, 2, FALSE))</f>
        <v/>
      </c>
    </row>
    <row r="444" spans="1:7" ht="24.95" customHeight="1" x14ac:dyDescent="0.3">
      <c r="A444" s="14"/>
      <c r="B444" s="15" t="str">
        <f t="shared" si="6"/>
        <v/>
      </c>
      <c r="C444" s="15"/>
      <c r="D444" s="15"/>
      <c r="E444" s="15"/>
      <c r="F444" s="15"/>
      <c r="G444" s="16" t="str">
        <f>IF(ISBLANK(E444), "", F444 * VLOOKUP(E444, Estoque_Cadastro!$B$2:$C$100, 2, FALSE))</f>
        <v/>
      </c>
    </row>
    <row r="445" spans="1:7" ht="24.95" customHeight="1" x14ac:dyDescent="0.3">
      <c r="A445" s="14"/>
      <c r="B445" s="15" t="str">
        <f t="shared" si="6"/>
        <v/>
      </c>
      <c r="C445" s="15"/>
      <c r="D445" s="15"/>
      <c r="E445" s="15"/>
      <c r="F445" s="15"/>
      <c r="G445" s="16" t="str">
        <f>IF(ISBLANK(E445), "", F445 * VLOOKUP(E445, Estoque_Cadastro!$B$2:$C$100, 2, FALSE))</f>
        <v/>
      </c>
    </row>
    <row r="446" spans="1:7" ht="24.95" customHeight="1" x14ac:dyDescent="0.3">
      <c r="A446" s="14"/>
      <c r="B446" s="15" t="str">
        <f t="shared" si="6"/>
        <v/>
      </c>
      <c r="C446" s="15"/>
      <c r="D446" s="15"/>
      <c r="E446" s="15"/>
      <c r="F446" s="15"/>
      <c r="G446" s="16" t="str">
        <f>IF(ISBLANK(E446), "", F446 * VLOOKUP(E446, Estoque_Cadastro!$B$2:$C$100, 2, FALSE))</f>
        <v/>
      </c>
    </row>
    <row r="447" spans="1:7" ht="24.95" customHeight="1" x14ac:dyDescent="0.3">
      <c r="A447" s="14"/>
      <c r="B447" s="15" t="str">
        <f t="shared" si="6"/>
        <v/>
      </c>
      <c r="C447" s="15"/>
      <c r="D447" s="15"/>
      <c r="E447" s="15"/>
      <c r="F447" s="15"/>
      <c r="G447" s="16" t="str">
        <f>IF(ISBLANK(E447), "", F447 * VLOOKUP(E447, Estoque_Cadastro!$B$2:$C$100, 2, FALSE))</f>
        <v/>
      </c>
    </row>
    <row r="448" spans="1:7" ht="24.95" customHeight="1" x14ac:dyDescent="0.3">
      <c r="A448" s="14"/>
      <c r="B448" s="15" t="str">
        <f t="shared" si="6"/>
        <v/>
      </c>
      <c r="C448" s="15"/>
      <c r="D448" s="15"/>
      <c r="E448" s="15"/>
      <c r="F448" s="15"/>
      <c r="G448" s="16" t="str">
        <f>IF(ISBLANK(E448), "", F448 * VLOOKUP(E448, Estoque_Cadastro!$B$2:$C$100, 2, FALSE))</f>
        <v/>
      </c>
    </row>
    <row r="449" spans="1:7" ht="24.95" customHeight="1" x14ac:dyDescent="0.3">
      <c r="A449" s="14"/>
      <c r="B449" s="15" t="str">
        <f t="shared" si="6"/>
        <v/>
      </c>
      <c r="C449" s="15"/>
      <c r="D449" s="15"/>
      <c r="E449" s="15"/>
      <c r="F449" s="15"/>
      <c r="G449" s="16" t="str">
        <f>IF(ISBLANK(E449), "", F449 * VLOOKUP(E449, Estoque_Cadastro!$B$2:$C$100, 2, FALSE))</f>
        <v/>
      </c>
    </row>
    <row r="450" spans="1:7" ht="24.95" customHeight="1" x14ac:dyDescent="0.3">
      <c r="A450" s="14"/>
      <c r="B450" s="15" t="str">
        <f t="shared" ref="B450:B500" si="7">IF(A450="","", MONTH(A450))</f>
        <v/>
      </c>
      <c r="C450" s="15"/>
      <c r="D450" s="15"/>
      <c r="E450" s="15"/>
      <c r="F450" s="15"/>
      <c r="G450" s="16" t="str">
        <f>IF(ISBLANK(E450), "", F450 * VLOOKUP(E450, Estoque_Cadastro!$B$2:$C$100, 2, FALSE))</f>
        <v/>
      </c>
    </row>
    <row r="451" spans="1:7" ht="24.95" customHeight="1" x14ac:dyDescent="0.3">
      <c r="A451" s="14"/>
      <c r="B451" s="15" t="str">
        <f t="shared" si="7"/>
        <v/>
      </c>
      <c r="C451" s="15"/>
      <c r="D451" s="15"/>
      <c r="E451" s="15"/>
      <c r="F451" s="15"/>
      <c r="G451" s="16" t="str">
        <f>IF(ISBLANK(E451), "", F451 * VLOOKUP(E451, Estoque_Cadastro!$B$2:$C$100, 2, FALSE))</f>
        <v/>
      </c>
    </row>
    <row r="452" spans="1:7" ht="24.95" customHeight="1" x14ac:dyDescent="0.3">
      <c r="A452" s="14"/>
      <c r="B452" s="15" t="str">
        <f t="shared" si="7"/>
        <v/>
      </c>
      <c r="C452" s="15"/>
      <c r="D452" s="15"/>
      <c r="E452" s="15"/>
      <c r="F452" s="15"/>
      <c r="G452" s="16" t="str">
        <f>IF(ISBLANK(E452), "", F452 * VLOOKUP(E452, Estoque_Cadastro!$B$2:$C$100, 2, FALSE))</f>
        <v/>
      </c>
    </row>
    <row r="453" spans="1:7" ht="24.95" customHeight="1" x14ac:dyDescent="0.3">
      <c r="A453" s="14"/>
      <c r="B453" s="15" t="str">
        <f t="shared" si="7"/>
        <v/>
      </c>
      <c r="C453" s="15"/>
      <c r="D453" s="15"/>
      <c r="E453" s="15"/>
      <c r="F453" s="15"/>
      <c r="G453" s="16" t="str">
        <f>IF(ISBLANK(E453), "", F453 * VLOOKUP(E453, Estoque_Cadastro!$B$2:$C$100, 2, FALSE))</f>
        <v/>
      </c>
    </row>
    <row r="454" spans="1:7" ht="24.95" customHeight="1" x14ac:dyDescent="0.3">
      <c r="A454" s="14"/>
      <c r="B454" s="15" t="str">
        <f t="shared" si="7"/>
        <v/>
      </c>
      <c r="C454" s="15"/>
      <c r="D454" s="15"/>
      <c r="E454" s="15"/>
      <c r="F454" s="15"/>
      <c r="G454" s="16" t="str">
        <f>IF(ISBLANK(E454), "", F454 * VLOOKUP(E454, Estoque_Cadastro!$B$2:$C$100, 2, FALSE))</f>
        <v/>
      </c>
    </row>
    <row r="455" spans="1:7" ht="24.95" customHeight="1" x14ac:dyDescent="0.3">
      <c r="A455" s="14"/>
      <c r="B455" s="15" t="str">
        <f t="shared" si="7"/>
        <v/>
      </c>
      <c r="C455" s="15"/>
      <c r="D455" s="15"/>
      <c r="E455" s="15"/>
      <c r="F455" s="15"/>
      <c r="G455" s="16" t="str">
        <f>IF(ISBLANK(E455), "", F455 * VLOOKUP(E455, Estoque_Cadastro!$B$2:$C$100, 2, FALSE))</f>
        <v/>
      </c>
    </row>
    <row r="456" spans="1:7" ht="24.95" customHeight="1" x14ac:dyDescent="0.3">
      <c r="A456" s="14"/>
      <c r="B456" s="15" t="str">
        <f t="shared" si="7"/>
        <v/>
      </c>
      <c r="C456" s="15"/>
      <c r="D456" s="15"/>
      <c r="E456" s="15"/>
      <c r="F456" s="15"/>
      <c r="G456" s="16" t="str">
        <f>IF(ISBLANK(E456), "", F456 * VLOOKUP(E456, Estoque_Cadastro!$B$2:$C$100, 2, FALSE))</f>
        <v/>
      </c>
    </row>
    <row r="457" spans="1:7" ht="24.95" customHeight="1" x14ac:dyDescent="0.3">
      <c r="A457" s="14"/>
      <c r="B457" s="15" t="str">
        <f t="shared" si="7"/>
        <v/>
      </c>
      <c r="C457" s="15"/>
      <c r="D457" s="15"/>
      <c r="E457" s="15"/>
      <c r="F457" s="15"/>
      <c r="G457" s="16" t="str">
        <f>IF(ISBLANK(E457), "", F457 * VLOOKUP(E457, Estoque_Cadastro!$B$2:$C$100, 2, FALSE))</f>
        <v/>
      </c>
    </row>
    <row r="458" spans="1:7" ht="24.95" customHeight="1" x14ac:dyDescent="0.3">
      <c r="A458" s="14"/>
      <c r="B458" s="15" t="str">
        <f t="shared" si="7"/>
        <v/>
      </c>
      <c r="C458" s="15"/>
      <c r="D458" s="15"/>
      <c r="E458" s="15"/>
      <c r="F458" s="15"/>
      <c r="G458" s="16" t="str">
        <f>IF(ISBLANK(E458), "", F458 * VLOOKUP(E458, Estoque_Cadastro!$B$2:$C$100, 2, FALSE))</f>
        <v/>
      </c>
    </row>
    <row r="459" spans="1:7" ht="24.95" customHeight="1" x14ac:dyDescent="0.3">
      <c r="A459" s="14"/>
      <c r="B459" s="15" t="str">
        <f t="shared" si="7"/>
        <v/>
      </c>
      <c r="C459" s="15"/>
      <c r="D459" s="15"/>
      <c r="E459" s="15"/>
      <c r="F459" s="15"/>
      <c r="G459" s="16" t="str">
        <f>IF(ISBLANK(E459), "", F459 * VLOOKUP(E459, Estoque_Cadastro!$B$2:$C$100, 2, FALSE))</f>
        <v/>
      </c>
    </row>
    <row r="460" spans="1:7" ht="24.95" customHeight="1" x14ac:dyDescent="0.3">
      <c r="A460" s="14"/>
      <c r="B460" s="15" t="str">
        <f t="shared" si="7"/>
        <v/>
      </c>
      <c r="C460" s="15"/>
      <c r="D460" s="15"/>
      <c r="E460" s="15"/>
      <c r="F460" s="15"/>
      <c r="G460" s="16" t="str">
        <f>IF(ISBLANK(E460), "", F460 * VLOOKUP(E460, Estoque_Cadastro!$B$2:$C$100, 2, FALSE))</f>
        <v/>
      </c>
    </row>
    <row r="461" spans="1:7" ht="24.95" customHeight="1" x14ac:dyDescent="0.3">
      <c r="A461" s="14"/>
      <c r="B461" s="15" t="str">
        <f t="shared" si="7"/>
        <v/>
      </c>
      <c r="C461" s="15"/>
      <c r="D461" s="15"/>
      <c r="E461" s="15"/>
      <c r="F461" s="15"/>
      <c r="G461" s="16" t="str">
        <f>IF(ISBLANK(E461), "", F461 * VLOOKUP(E461, Estoque_Cadastro!$B$2:$C$100, 2, FALSE))</f>
        <v/>
      </c>
    </row>
    <row r="462" spans="1:7" ht="24.95" customHeight="1" x14ac:dyDescent="0.3">
      <c r="A462" s="14"/>
      <c r="B462" s="15" t="str">
        <f t="shared" si="7"/>
        <v/>
      </c>
      <c r="C462" s="15"/>
      <c r="D462" s="15"/>
      <c r="E462" s="15"/>
      <c r="F462" s="15"/>
      <c r="G462" s="16" t="str">
        <f>IF(ISBLANK(E462), "", F462 * VLOOKUP(E462, Estoque_Cadastro!$B$2:$C$100, 2, FALSE))</f>
        <v/>
      </c>
    </row>
    <row r="463" spans="1:7" ht="24.95" customHeight="1" x14ac:dyDescent="0.3">
      <c r="A463" s="14"/>
      <c r="B463" s="15" t="str">
        <f t="shared" si="7"/>
        <v/>
      </c>
      <c r="C463" s="15"/>
      <c r="D463" s="15"/>
      <c r="E463" s="15"/>
      <c r="F463" s="15"/>
      <c r="G463" s="16" t="str">
        <f>IF(ISBLANK(E463), "", F463 * VLOOKUP(E463, Estoque_Cadastro!$B$2:$C$100, 2, FALSE))</f>
        <v/>
      </c>
    </row>
    <row r="464" spans="1:7" ht="24.95" customHeight="1" x14ac:dyDescent="0.3">
      <c r="A464" s="14"/>
      <c r="B464" s="15" t="str">
        <f t="shared" si="7"/>
        <v/>
      </c>
      <c r="C464" s="15"/>
      <c r="D464" s="15"/>
      <c r="E464" s="15"/>
      <c r="F464" s="15"/>
      <c r="G464" s="16" t="str">
        <f>IF(ISBLANK(E464), "", F464 * VLOOKUP(E464, Estoque_Cadastro!$B$2:$C$100, 2, FALSE))</f>
        <v/>
      </c>
    </row>
    <row r="465" spans="1:7" ht="24.95" customHeight="1" x14ac:dyDescent="0.3">
      <c r="A465" s="14"/>
      <c r="B465" s="15" t="str">
        <f t="shared" si="7"/>
        <v/>
      </c>
      <c r="C465" s="15"/>
      <c r="D465" s="15"/>
      <c r="E465" s="15"/>
      <c r="F465" s="15"/>
      <c r="G465" s="16" t="str">
        <f>IF(ISBLANK(E465), "", F465 * VLOOKUP(E465, Estoque_Cadastro!$B$2:$C$100, 2, FALSE))</f>
        <v/>
      </c>
    </row>
    <row r="466" spans="1:7" ht="24.95" customHeight="1" x14ac:dyDescent="0.3">
      <c r="A466" s="14"/>
      <c r="B466" s="15" t="str">
        <f t="shared" si="7"/>
        <v/>
      </c>
      <c r="C466" s="15"/>
      <c r="D466" s="15"/>
      <c r="E466" s="15"/>
      <c r="F466" s="15"/>
      <c r="G466" s="16" t="str">
        <f>IF(ISBLANK(E466), "", F466 * VLOOKUP(E466, Estoque_Cadastro!$B$2:$C$100, 2, FALSE))</f>
        <v/>
      </c>
    </row>
    <row r="467" spans="1:7" ht="24.95" customHeight="1" x14ac:dyDescent="0.3">
      <c r="A467" s="14"/>
      <c r="B467" s="15" t="str">
        <f t="shared" si="7"/>
        <v/>
      </c>
      <c r="C467" s="15"/>
      <c r="D467" s="15"/>
      <c r="E467" s="15"/>
      <c r="F467" s="15"/>
      <c r="G467" s="16" t="str">
        <f>IF(ISBLANK(E467), "", F467 * VLOOKUP(E467, Estoque_Cadastro!$B$2:$C$100, 2, FALSE))</f>
        <v/>
      </c>
    </row>
    <row r="468" spans="1:7" ht="24.95" customHeight="1" x14ac:dyDescent="0.3">
      <c r="A468" s="14"/>
      <c r="B468" s="15" t="str">
        <f t="shared" si="7"/>
        <v/>
      </c>
      <c r="C468" s="15"/>
      <c r="D468" s="15"/>
      <c r="E468" s="15"/>
      <c r="F468" s="15"/>
      <c r="G468" s="16" t="str">
        <f>IF(ISBLANK(E468), "", F468 * VLOOKUP(E468, Estoque_Cadastro!$B$2:$C$100, 2, FALSE))</f>
        <v/>
      </c>
    </row>
    <row r="469" spans="1:7" ht="24.95" customHeight="1" x14ac:dyDescent="0.3">
      <c r="A469" s="14"/>
      <c r="B469" s="15" t="str">
        <f t="shared" si="7"/>
        <v/>
      </c>
      <c r="C469" s="15"/>
      <c r="D469" s="15"/>
      <c r="E469" s="15"/>
      <c r="F469" s="15"/>
      <c r="G469" s="16" t="str">
        <f>IF(ISBLANK(E469), "", F469 * VLOOKUP(E469, Estoque_Cadastro!$B$2:$C$100, 2, FALSE))</f>
        <v/>
      </c>
    </row>
    <row r="470" spans="1:7" ht="24.95" customHeight="1" x14ac:dyDescent="0.3">
      <c r="A470" s="14"/>
      <c r="B470" s="15" t="str">
        <f t="shared" si="7"/>
        <v/>
      </c>
      <c r="C470" s="15"/>
      <c r="D470" s="15"/>
      <c r="E470" s="15"/>
      <c r="F470" s="15"/>
      <c r="G470" s="16" t="str">
        <f>IF(ISBLANK(E470), "", F470 * VLOOKUP(E470, Estoque_Cadastro!$B$2:$C$100, 2, FALSE))</f>
        <v/>
      </c>
    </row>
    <row r="471" spans="1:7" ht="24.95" customHeight="1" x14ac:dyDescent="0.3">
      <c r="A471" s="14"/>
      <c r="B471" s="15" t="str">
        <f t="shared" si="7"/>
        <v/>
      </c>
      <c r="C471" s="15"/>
      <c r="D471" s="15"/>
      <c r="E471" s="15"/>
      <c r="F471" s="15"/>
      <c r="G471" s="16" t="str">
        <f>IF(ISBLANK(E471), "", F471 * VLOOKUP(E471, Estoque_Cadastro!$B$2:$C$100, 2, FALSE))</f>
        <v/>
      </c>
    </row>
    <row r="472" spans="1:7" ht="24.95" customHeight="1" x14ac:dyDescent="0.3">
      <c r="A472" s="14"/>
      <c r="B472" s="15" t="str">
        <f t="shared" si="7"/>
        <v/>
      </c>
      <c r="C472" s="15"/>
      <c r="D472" s="15"/>
      <c r="E472" s="15"/>
      <c r="F472" s="15"/>
      <c r="G472" s="16" t="str">
        <f>IF(ISBLANK(E472), "", F472 * VLOOKUP(E472, Estoque_Cadastro!$B$2:$C$100, 2, FALSE))</f>
        <v/>
      </c>
    </row>
    <row r="473" spans="1:7" ht="24.95" customHeight="1" x14ac:dyDescent="0.3">
      <c r="A473" s="14"/>
      <c r="B473" s="15" t="str">
        <f t="shared" si="7"/>
        <v/>
      </c>
      <c r="C473" s="15"/>
      <c r="D473" s="15"/>
      <c r="E473" s="15"/>
      <c r="F473" s="15"/>
      <c r="G473" s="16" t="str">
        <f>IF(ISBLANK(E473), "", F473 * VLOOKUP(E473, Estoque_Cadastro!$B$2:$C$100, 2, FALSE))</f>
        <v/>
      </c>
    </row>
    <row r="474" spans="1:7" ht="24.95" customHeight="1" x14ac:dyDescent="0.3">
      <c r="A474" s="14"/>
      <c r="B474" s="15" t="str">
        <f t="shared" si="7"/>
        <v/>
      </c>
      <c r="C474" s="15"/>
      <c r="D474" s="15"/>
      <c r="E474" s="15"/>
      <c r="F474" s="15"/>
      <c r="G474" s="16" t="str">
        <f>IF(ISBLANK(E474), "", F474 * VLOOKUP(E474, Estoque_Cadastro!$B$2:$C$100, 2, FALSE))</f>
        <v/>
      </c>
    </row>
    <row r="475" spans="1:7" ht="24.95" customHeight="1" x14ac:dyDescent="0.3">
      <c r="A475" s="14"/>
      <c r="B475" s="15" t="str">
        <f t="shared" si="7"/>
        <v/>
      </c>
      <c r="C475" s="15"/>
      <c r="D475" s="15"/>
      <c r="E475" s="15"/>
      <c r="F475" s="15"/>
      <c r="G475" s="16" t="str">
        <f>IF(ISBLANK(E475), "", F475 * VLOOKUP(E475, Estoque_Cadastro!$B$2:$C$100, 2, FALSE))</f>
        <v/>
      </c>
    </row>
    <row r="476" spans="1:7" ht="24.95" customHeight="1" x14ac:dyDescent="0.3">
      <c r="A476" s="14"/>
      <c r="B476" s="15" t="str">
        <f t="shared" si="7"/>
        <v/>
      </c>
      <c r="C476" s="15"/>
      <c r="D476" s="15"/>
      <c r="E476" s="15"/>
      <c r="F476" s="15"/>
      <c r="G476" s="16" t="str">
        <f>IF(ISBLANK(E476), "", F476 * VLOOKUP(E476, Estoque_Cadastro!$B$2:$C$100, 2, FALSE))</f>
        <v/>
      </c>
    </row>
    <row r="477" spans="1:7" ht="24.95" customHeight="1" x14ac:dyDescent="0.3">
      <c r="A477" s="14"/>
      <c r="B477" s="15" t="str">
        <f t="shared" si="7"/>
        <v/>
      </c>
      <c r="C477" s="15"/>
      <c r="D477" s="15"/>
      <c r="E477" s="15"/>
      <c r="F477" s="15"/>
      <c r="G477" s="16" t="str">
        <f>IF(ISBLANK(E477), "", F477 * VLOOKUP(E477, Estoque_Cadastro!$B$2:$C$100, 2, FALSE))</f>
        <v/>
      </c>
    </row>
    <row r="478" spans="1:7" ht="24.95" customHeight="1" x14ac:dyDescent="0.3">
      <c r="A478" s="14"/>
      <c r="B478" s="15" t="str">
        <f t="shared" si="7"/>
        <v/>
      </c>
      <c r="C478" s="15"/>
      <c r="D478" s="15"/>
      <c r="E478" s="15"/>
      <c r="F478" s="15"/>
      <c r="G478" s="16" t="str">
        <f>IF(ISBLANK(E478), "", F478 * VLOOKUP(E478, Estoque_Cadastro!$B$2:$C$100, 2, FALSE))</f>
        <v/>
      </c>
    </row>
    <row r="479" spans="1:7" ht="24.95" customHeight="1" x14ac:dyDescent="0.3">
      <c r="A479" s="14"/>
      <c r="B479" s="15" t="str">
        <f t="shared" si="7"/>
        <v/>
      </c>
      <c r="C479" s="15"/>
      <c r="D479" s="15"/>
      <c r="E479" s="15"/>
      <c r="F479" s="15"/>
      <c r="G479" s="16" t="str">
        <f>IF(ISBLANK(E479), "", F479 * VLOOKUP(E479, Estoque_Cadastro!$B$2:$C$100, 2, FALSE))</f>
        <v/>
      </c>
    </row>
    <row r="480" spans="1:7" ht="24.95" customHeight="1" x14ac:dyDescent="0.3">
      <c r="A480" s="14"/>
      <c r="B480" s="15" t="str">
        <f t="shared" si="7"/>
        <v/>
      </c>
      <c r="C480" s="15"/>
      <c r="D480" s="15"/>
      <c r="E480" s="15"/>
      <c r="F480" s="15"/>
      <c r="G480" s="16" t="str">
        <f>IF(ISBLANK(E480), "", F480 * VLOOKUP(E480, Estoque_Cadastro!$B$2:$C$100, 2, FALSE))</f>
        <v/>
      </c>
    </row>
    <row r="481" spans="1:7" ht="24.95" customHeight="1" x14ac:dyDescent="0.3">
      <c r="A481" s="14"/>
      <c r="B481" s="15" t="str">
        <f t="shared" si="7"/>
        <v/>
      </c>
      <c r="C481" s="15"/>
      <c r="D481" s="15"/>
      <c r="E481" s="15"/>
      <c r="F481" s="15"/>
      <c r="G481" s="16" t="str">
        <f>IF(ISBLANK(E481), "", F481 * VLOOKUP(E481, Estoque_Cadastro!$B$2:$C$100, 2, FALSE))</f>
        <v/>
      </c>
    </row>
    <row r="482" spans="1:7" ht="24.95" customHeight="1" x14ac:dyDescent="0.3">
      <c r="A482" s="14"/>
      <c r="B482" s="15" t="str">
        <f t="shared" si="7"/>
        <v/>
      </c>
      <c r="C482" s="15"/>
      <c r="D482" s="15"/>
      <c r="E482" s="15"/>
      <c r="F482" s="15"/>
      <c r="G482" s="16" t="str">
        <f>IF(ISBLANK(E482), "", F482 * VLOOKUP(E482, Estoque_Cadastro!$B$2:$C$100, 2, FALSE))</f>
        <v/>
      </c>
    </row>
    <row r="483" spans="1:7" ht="24.95" customHeight="1" x14ac:dyDescent="0.3">
      <c r="A483" s="14"/>
      <c r="B483" s="15" t="str">
        <f t="shared" si="7"/>
        <v/>
      </c>
      <c r="C483" s="15"/>
      <c r="D483" s="15"/>
      <c r="E483" s="15"/>
      <c r="F483" s="15"/>
      <c r="G483" s="16" t="str">
        <f>IF(ISBLANK(E483), "", F483 * VLOOKUP(E483, Estoque_Cadastro!$B$2:$C$100, 2, FALSE))</f>
        <v/>
      </c>
    </row>
    <row r="484" spans="1:7" ht="24.95" customHeight="1" x14ac:dyDescent="0.3">
      <c r="A484" s="14"/>
      <c r="B484" s="15" t="str">
        <f t="shared" si="7"/>
        <v/>
      </c>
      <c r="C484" s="15"/>
      <c r="D484" s="15"/>
      <c r="E484" s="15"/>
      <c r="F484" s="15"/>
      <c r="G484" s="16" t="str">
        <f>IF(ISBLANK(E484), "", F484 * VLOOKUP(E484, Estoque_Cadastro!$B$2:$C$100, 2, FALSE))</f>
        <v/>
      </c>
    </row>
    <row r="485" spans="1:7" ht="24.95" customHeight="1" x14ac:dyDescent="0.3">
      <c r="A485" s="14"/>
      <c r="B485" s="15" t="str">
        <f t="shared" si="7"/>
        <v/>
      </c>
      <c r="C485" s="15"/>
      <c r="D485" s="15"/>
      <c r="E485" s="15"/>
      <c r="F485" s="15"/>
      <c r="G485" s="16" t="str">
        <f>IF(ISBLANK(E485), "", F485 * VLOOKUP(E485, Estoque_Cadastro!$B$2:$C$100, 2, FALSE))</f>
        <v/>
      </c>
    </row>
    <row r="486" spans="1:7" ht="24.95" customHeight="1" x14ac:dyDescent="0.3">
      <c r="A486" s="14"/>
      <c r="B486" s="15" t="str">
        <f t="shared" si="7"/>
        <v/>
      </c>
      <c r="C486" s="15"/>
      <c r="D486" s="15"/>
      <c r="E486" s="15"/>
      <c r="F486" s="15"/>
      <c r="G486" s="16" t="str">
        <f>IF(ISBLANK(E486), "", F486 * VLOOKUP(E486, Estoque_Cadastro!$B$2:$C$100, 2, FALSE))</f>
        <v/>
      </c>
    </row>
    <row r="487" spans="1:7" ht="24.95" customHeight="1" x14ac:dyDescent="0.3">
      <c r="A487" s="14"/>
      <c r="B487" s="15" t="str">
        <f t="shared" si="7"/>
        <v/>
      </c>
      <c r="C487" s="15"/>
      <c r="D487" s="15"/>
      <c r="E487" s="15"/>
      <c r="F487" s="15"/>
      <c r="G487" s="16" t="str">
        <f>IF(ISBLANK(E487), "", F487 * VLOOKUP(E487, Estoque_Cadastro!$B$2:$C$100, 2, FALSE))</f>
        <v/>
      </c>
    </row>
    <row r="488" spans="1:7" ht="24.95" customHeight="1" x14ac:dyDescent="0.3">
      <c r="A488" s="14"/>
      <c r="B488" s="15" t="str">
        <f t="shared" si="7"/>
        <v/>
      </c>
      <c r="C488" s="15"/>
      <c r="D488" s="15"/>
      <c r="E488" s="15"/>
      <c r="F488" s="15"/>
      <c r="G488" s="16" t="str">
        <f>IF(ISBLANK(E488), "", F488 * VLOOKUP(E488, Estoque_Cadastro!$B$2:$C$100, 2, FALSE))</f>
        <v/>
      </c>
    </row>
    <row r="489" spans="1:7" ht="24.95" customHeight="1" x14ac:dyDescent="0.3">
      <c r="A489" s="14"/>
      <c r="B489" s="15" t="str">
        <f t="shared" si="7"/>
        <v/>
      </c>
      <c r="C489" s="15"/>
      <c r="D489" s="15"/>
      <c r="E489" s="15"/>
      <c r="F489" s="15"/>
      <c r="G489" s="16" t="str">
        <f>IF(ISBLANK(E489), "", F489 * VLOOKUP(E489, Estoque_Cadastro!$B$2:$C$100, 2, FALSE))</f>
        <v/>
      </c>
    </row>
    <row r="490" spans="1:7" ht="24.95" customHeight="1" x14ac:dyDescent="0.3">
      <c r="A490" s="14"/>
      <c r="B490" s="15" t="str">
        <f t="shared" si="7"/>
        <v/>
      </c>
      <c r="C490" s="15"/>
      <c r="D490" s="15"/>
      <c r="E490" s="15"/>
      <c r="F490" s="15"/>
      <c r="G490" s="16" t="str">
        <f>IF(ISBLANK(E490), "", F490 * VLOOKUP(E490, Estoque_Cadastro!$B$2:$C$100, 2, FALSE))</f>
        <v/>
      </c>
    </row>
    <row r="491" spans="1:7" ht="24.95" customHeight="1" x14ac:dyDescent="0.3">
      <c r="A491" s="14"/>
      <c r="B491" s="15" t="str">
        <f t="shared" si="7"/>
        <v/>
      </c>
      <c r="C491" s="15"/>
      <c r="D491" s="15"/>
      <c r="E491" s="15"/>
      <c r="F491" s="15"/>
      <c r="G491" s="16" t="str">
        <f>IF(ISBLANK(E491), "", F491 * VLOOKUP(E491, Estoque_Cadastro!$B$2:$C$100, 2, FALSE))</f>
        <v/>
      </c>
    </row>
    <row r="492" spans="1:7" ht="24.95" customHeight="1" x14ac:dyDescent="0.3">
      <c r="A492" s="14"/>
      <c r="B492" s="15" t="str">
        <f t="shared" si="7"/>
        <v/>
      </c>
      <c r="C492" s="15"/>
      <c r="D492" s="15"/>
      <c r="E492" s="15"/>
      <c r="F492" s="15"/>
      <c r="G492" s="16" t="str">
        <f>IF(ISBLANK(E492), "", F492 * VLOOKUP(E492, Estoque_Cadastro!$B$2:$C$100, 2, FALSE))</f>
        <v/>
      </c>
    </row>
    <row r="493" spans="1:7" ht="24.95" customHeight="1" x14ac:dyDescent="0.3">
      <c r="A493" s="14"/>
      <c r="B493" s="15" t="str">
        <f t="shared" si="7"/>
        <v/>
      </c>
      <c r="C493" s="15"/>
      <c r="D493" s="15"/>
      <c r="E493" s="15"/>
      <c r="F493" s="15"/>
      <c r="G493" s="16" t="str">
        <f>IF(ISBLANK(E493), "", F493 * VLOOKUP(E493, Estoque_Cadastro!$B$2:$C$100, 2, FALSE))</f>
        <v/>
      </c>
    </row>
    <row r="494" spans="1:7" ht="24.95" customHeight="1" x14ac:dyDescent="0.3">
      <c r="A494" s="14"/>
      <c r="B494" s="15" t="str">
        <f t="shared" si="7"/>
        <v/>
      </c>
      <c r="C494" s="15"/>
      <c r="D494" s="15"/>
      <c r="E494" s="15"/>
      <c r="F494" s="15"/>
      <c r="G494" s="16" t="str">
        <f>IF(ISBLANK(E494), "", F494 * VLOOKUP(E494, Estoque_Cadastro!$B$2:$C$100, 2, FALSE))</f>
        <v/>
      </c>
    </row>
    <row r="495" spans="1:7" ht="24.95" customHeight="1" x14ac:dyDescent="0.3">
      <c r="A495" s="14"/>
      <c r="B495" s="15" t="str">
        <f t="shared" si="7"/>
        <v/>
      </c>
      <c r="C495" s="15"/>
      <c r="D495" s="15"/>
      <c r="E495" s="15"/>
      <c r="F495" s="15"/>
      <c r="G495" s="16" t="str">
        <f>IF(ISBLANK(E495), "", F495 * VLOOKUP(E495, Estoque_Cadastro!$B$2:$C$100, 2, FALSE))</f>
        <v/>
      </c>
    </row>
    <row r="496" spans="1:7" ht="24.95" customHeight="1" x14ac:dyDescent="0.3">
      <c r="A496" s="14"/>
      <c r="B496" s="15" t="str">
        <f t="shared" si="7"/>
        <v/>
      </c>
      <c r="C496" s="15"/>
      <c r="D496" s="15"/>
      <c r="E496" s="15"/>
      <c r="F496" s="15"/>
      <c r="G496" s="16" t="str">
        <f>IF(ISBLANK(E496), "", F496 * VLOOKUP(E496, Estoque_Cadastro!$B$2:$C$100, 2, FALSE))</f>
        <v/>
      </c>
    </row>
    <row r="497" spans="1:7" ht="24.95" customHeight="1" x14ac:dyDescent="0.3">
      <c r="A497" s="14"/>
      <c r="B497" s="15" t="str">
        <f t="shared" si="7"/>
        <v/>
      </c>
      <c r="C497" s="15"/>
      <c r="D497" s="15"/>
      <c r="E497" s="15"/>
      <c r="F497" s="15"/>
      <c r="G497" s="16" t="str">
        <f>IF(ISBLANK(E497), "", F497 * VLOOKUP(E497, Estoque_Cadastro!$B$2:$C$100, 2, FALSE))</f>
        <v/>
      </c>
    </row>
    <row r="498" spans="1:7" ht="24.95" customHeight="1" x14ac:dyDescent="0.3">
      <c r="A498" s="14"/>
      <c r="B498" s="15" t="str">
        <f t="shared" si="7"/>
        <v/>
      </c>
      <c r="C498" s="15"/>
      <c r="D498" s="15"/>
      <c r="E498" s="15"/>
      <c r="F498" s="15"/>
      <c r="G498" s="16" t="str">
        <f>IF(ISBLANK(E498), "", F498 * VLOOKUP(E498, Estoque_Cadastro!$B$2:$C$100, 2, FALSE))</f>
        <v/>
      </c>
    </row>
    <row r="499" spans="1:7" ht="24.95" customHeight="1" x14ac:dyDescent="0.3">
      <c r="A499" s="14"/>
      <c r="B499" s="15" t="str">
        <f t="shared" si="7"/>
        <v/>
      </c>
      <c r="C499" s="15"/>
      <c r="D499" s="15"/>
      <c r="E499" s="15"/>
      <c r="F499" s="15"/>
      <c r="G499" s="16" t="str">
        <f>IF(ISBLANK(E499), "", F499 * VLOOKUP(E499, Estoque_Cadastro!$B$2:$C$100, 2, FALSE))</f>
        <v/>
      </c>
    </row>
    <row r="500" spans="1:7" ht="24.95" customHeight="1" x14ac:dyDescent="0.3">
      <c r="A500" s="14"/>
      <c r="B500" s="15" t="str">
        <f t="shared" si="7"/>
        <v/>
      </c>
      <c r="C500" s="15"/>
      <c r="D500" s="15"/>
      <c r="E500" s="15"/>
      <c r="F500" s="15"/>
      <c r="G500" s="16" t="str">
        <f>IF(ISBLANK(E500), "", F500 * VLOOKUP(E500, Estoque_Cadastro!$B$2:$C$100, 2, FALSE))</f>
        <v/>
      </c>
    </row>
  </sheetData>
  <pageMargins left="0.7" right="0.7" top="0.75" bottom="0.75" header="0.3" footer="0.3"/>
  <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Estoque_Cadastro!$B$2:$B$100</xm:f>
          </x14:formula1>
          <xm:sqref>E2:E500</xm:sqref>
        </x14:dataValidation>
      </x14:dataValidation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97"/>
  <sheetViews>
    <sheetView zoomScaleNormal="100" workbookViewId="0">
      <selection activeCell="A2" sqref="A2"/>
    </sheetView>
  </sheetViews>
  <sheetFormatPr defaultRowHeight="24.95" customHeight="1" x14ac:dyDescent="0.25"/>
  <cols>
    <col min="1" max="1" width="30.7109375" customWidth="1"/>
    <col min="2" max="2" width="30.7109375" style="2" customWidth="1"/>
    <col min="3" max="3" width="30.7109375" style="1" customWidth="1"/>
    <col min="4" max="4" width="30.7109375" customWidth="1"/>
  </cols>
  <sheetData>
    <row r="1" spans="1:10" ht="24.95" customHeight="1" x14ac:dyDescent="0.25">
      <c r="A1" s="11" t="s">
        <v>10</v>
      </c>
      <c r="B1" s="11" t="s">
        <v>15</v>
      </c>
      <c r="C1" s="11" t="s">
        <v>13</v>
      </c>
      <c r="D1" s="11" t="s">
        <v>14</v>
      </c>
      <c r="F1" s="24" t="s">
        <v>18</v>
      </c>
      <c r="G1" s="24"/>
      <c r="H1" s="24"/>
      <c r="I1" s="21">
        <f>SUM(B2:B100)</f>
        <v>0</v>
      </c>
      <c r="J1" s="22"/>
    </row>
    <row r="2" spans="1:10" ht="24.95" customHeight="1" x14ac:dyDescent="0.25">
      <c r="A2" s="12"/>
      <c r="B2" s="13" t="str">
        <f>IF(A2="","", SUMIF(Movimentação!C:C, A2, Movimentação!G:G))</f>
        <v/>
      </c>
      <c r="C2" s="12" t="str">
        <f>IF(A2="","", SUMIF(Movimentação!C:C, A2, Movimentação!F:F))</f>
        <v/>
      </c>
      <c r="D2" s="12" t="str" cm="1">
        <f t="array" ref="D2">IF(A2="","", _xlfn.TEXTJOIN(", ", TRUE, _xlfn.UNIQUE(_xlfn._xlws.FILTER(Movimentação!$E$2:$E$500, Movimentação!$C$2:$C$500=A2))))</f>
        <v/>
      </c>
      <c r="F2" s="24" t="s">
        <v>19</v>
      </c>
      <c r="G2" s="24"/>
      <c r="H2" s="24"/>
      <c r="I2" s="23">
        <f>SUM(C2:C100)</f>
        <v>0</v>
      </c>
      <c r="J2" s="23"/>
    </row>
    <row r="3" spans="1:10" ht="24.95" customHeight="1" x14ac:dyDescent="0.25">
      <c r="A3" s="12"/>
      <c r="B3" s="13" t="str">
        <f>IF(A3="","", SUMIF(Movimentação!C:C, A3, Movimentação!G:G))</f>
        <v/>
      </c>
      <c r="C3" s="12" t="str">
        <f>IF(A3="","", SUMIF(Movimentação!C:C, A3, Movimentação!F:F))</f>
        <v/>
      </c>
      <c r="D3" s="12" t="str" cm="1">
        <f t="array" ref="D3">IF(A3="","", _xlfn.TEXTJOIN(", ", TRUE, _xlfn.UNIQUE(_xlfn._xlws.FILTER(Movimentação!$E$2:$E$500, Movimentação!$C$2:$C$500=A3))))</f>
        <v/>
      </c>
      <c r="F3" s="17"/>
      <c r="G3" s="17"/>
      <c r="H3" s="17"/>
    </row>
    <row r="4" spans="1:10" ht="24.95" customHeight="1" x14ac:dyDescent="0.25">
      <c r="A4" s="12"/>
      <c r="B4" s="13" t="str">
        <f>IF(A4="","", SUMIF(Movimentação!C:C, A4, Movimentação!G:G))</f>
        <v/>
      </c>
      <c r="C4" s="12" t="str">
        <f>IF(A4="","", SUMIF(Movimentação!C:C, A4, Movimentação!F:F))</f>
        <v/>
      </c>
      <c r="D4" s="12" t="str" cm="1">
        <f t="array" ref="D4">IF(A4="","", _xlfn.TEXTJOIN(", ", TRUE, _xlfn.UNIQUE(_xlfn._xlws.FILTER(Movimentação!$E$2:$E$500, Movimentação!$C$2:$C$500=A4))))</f>
        <v/>
      </c>
      <c r="F4" s="19" t="s">
        <v>9</v>
      </c>
      <c r="G4" s="24" t="s">
        <v>20</v>
      </c>
      <c r="H4" s="24"/>
    </row>
    <row r="5" spans="1:10" ht="24.95" customHeight="1" x14ac:dyDescent="0.25">
      <c r="A5" s="12" t="str" cm="1">
        <f t="array" ref="A5">IFERROR(_xlfn.UNIQUE(_xlfn._xlws.FILTER(Movimentação!C8:C506, Movimentação!C8:C506&lt;&gt;"")), "")</f>
        <v/>
      </c>
      <c r="B5" s="13" t="str">
        <f>IF(A5="","", SUMIF(Movimentação!C:C, A5, Movimentação!G:G))</f>
        <v/>
      </c>
      <c r="C5" s="12" t="str">
        <f>IF(A5="","", SUMIF(Movimentação!C:C, A5, Movimentação!F:F))</f>
        <v/>
      </c>
      <c r="D5" s="12" t="str" cm="1">
        <f t="array" ref="D5">IF(A5="","", _xlfn.TEXTJOIN(", ", TRUE, _xlfn.UNIQUE(_xlfn._xlws.FILTER(Movimentação!$E$2:$E$500, Movimentação!$C$2:$C$500=A5))))</f>
        <v/>
      </c>
      <c r="F5" s="18">
        <v>1</v>
      </c>
      <c r="G5" s="25">
        <f>SUMIF(Movimentação!$B:$B, 1, Movimentação!$G:$G)</f>
        <v>0</v>
      </c>
      <c r="H5" s="20"/>
    </row>
    <row r="6" spans="1:10" ht="24.95" customHeight="1" x14ac:dyDescent="0.25">
      <c r="A6" s="12" t="str" cm="1">
        <f t="array" ref="A6">IFERROR(_xlfn.UNIQUE(_xlfn._xlws.FILTER(Movimentação!C9:C507, Movimentação!C9:C507&lt;&gt;"")), "")</f>
        <v/>
      </c>
      <c r="B6" s="13" t="str">
        <f>IF(A6="","", SUMIF(Movimentação!C:C, A6, Movimentação!G:G))</f>
        <v/>
      </c>
      <c r="C6" s="12" t="str">
        <f>IF(A6="","", SUMIF(Movimentação!C:C, A6, Movimentação!F:F))</f>
        <v/>
      </c>
      <c r="D6" s="12" t="str" cm="1">
        <f t="array" ref="D6">IF(A6="","", _xlfn.TEXTJOIN(", ", TRUE, _xlfn.UNIQUE(_xlfn._xlws.FILTER(Movimentação!$E$2:$E$500, Movimentação!$C$2:$C$500=A6))))</f>
        <v/>
      </c>
      <c r="F6" s="18">
        <v>2</v>
      </c>
      <c r="G6" s="20">
        <f>SUMIF(Movimentação!$B:$B, 2, Movimentação!$G:$G)</f>
        <v>0</v>
      </c>
      <c r="H6" s="20"/>
    </row>
    <row r="7" spans="1:10" ht="24.95" customHeight="1" x14ac:dyDescent="0.25">
      <c r="A7" s="12" t="str" cm="1">
        <f t="array" ref="A7">IFERROR(_xlfn.UNIQUE(_xlfn._xlws.FILTER(Movimentação!C10:C508, Movimentação!C10:C508&lt;&gt;"")), "")</f>
        <v/>
      </c>
      <c r="B7" s="13" t="str">
        <f>IF(A7="","", SUMIF(Movimentação!C:C, A7, Movimentação!G:G))</f>
        <v/>
      </c>
      <c r="C7" s="12" t="str">
        <f>IF(A7="","", SUMIF(Movimentação!C:C, A7, Movimentação!F:F))</f>
        <v/>
      </c>
      <c r="D7" s="12" t="str" cm="1">
        <f t="array" ref="D7">IF(A7="","", _xlfn.TEXTJOIN(", ", TRUE, _xlfn.UNIQUE(_xlfn._xlws.FILTER(Movimentação!$E$2:$E$500, Movimentação!$C$2:$C$500=A7))))</f>
        <v/>
      </c>
      <c r="F7" s="18">
        <v>3</v>
      </c>
      <c r="G7" s="20">
        <f>SUMIF(Movimentação!$B:$B, 3, Movimentação!$G:$G)</f>
        <v>0</v>
      </c>
      <c r="H7" s="20"/>
    </row>
    <row r="8" spans="1:10" ht="24.95" customHeight="1" x14ac:dyDescent="0.25">
      <c r="A8" s="12" t="str" cm="1">
        <f t="array" ref="A8">IFERROR(_xlfn.UNIQUE(_xlfn._xlws.FILTER(Movimentação!C11:C509, Movimentação!C11:C509&lt;&gt;"")), "")</f>
        <v/>
      </c>
      <c r="B8" s="13" t="str">
        <f>IF(A8="","", SUMIF(Movimentação!C:C, A8, Movimentação!G:G))</f>
        <v/>
      </c>
      <c r="C8" s="12" t="str">
        <f>IF(A8="","", SUMIF(Movimentação!C:C, A8, Movimentação!F:F))</f>
        <v/>
      </c>
      <c r="D8" s="12" t="str" cm="1">
        <f t="array" ref="D8">IF(A8="","", _xlfn.TEXTJOIN(", ", TRUE, _xlfn.UNIQUE(_xlfn._xlws.FILTER(Movimentação!$E$2:$E$500, Movimentação!$C$2:$C$500=A8))))</f>
        <v/>
      </c>
      <c r="F8" s="18">
        <v>4</v>
      </c>
      <c r="G8" s="20">
        <f>SUMIF(Movimentação!$B:$B, 4, Movimentação!$G:$G)</f>
        <v>0</v>
      </c>
      <c r="H8" s="20"/>
    </row>
    <row r="9" spans="1:10" ht="24.95" customHeight="1" x14ac:dyDescent="0.25">
      <c r="A9" s="12" t="str" cm="1">
        <f t="array" ref="A9">IFERROR(_xlfn.UNIQUE(_xlfn._xlws.FILTER(Movimentação!C12:C510, Movimentação!C12:C510&lt;&gt;"")), "")</f>
        <v/>
      </c>
      <c r="B9" s="13" t="str">
        <f>IF(A9="","", SUMIF(Movimentação!C:C, A9, Movimentação!G:G))</f>
        <v/>
      </c>
      <c r="C9" s="12" t="str">
        <f>IF(A9="","", SUMIF(Movimentação!C:C, A9, Movimentação!F:F))</f>
        <v/>
      </c>
      <c r="D9" s="12" t="str" cm="1">
        <f t="array" ref="D9">IF(A9="","", _xlfn.TEXTJOIN(", ", TRUE, _xlfn.UNIQUE(_xlfn._xlws.FILTER(Movimentação!$E$2:$E$500, Movimentação!$C$2:$C$500=A9))))</f>
        <v/>
      </c>
      <c r="F9" s="18">
        <v>5</v>
      </c>
      <c r="G9" s="20">
        <f>SUMIF(Movimentação!$B:$B, 5, Movimentação!$G:$G)</f>
        <v>0</v>
      </c>
      <c r="H9" s="20"/>
    </row>
    <row r="10" spans="1:10" ht="24.95" customHeight="1" x14ac:dyDescent="0.25">
      <c r="A10" s="12" t="str" cm="1">
        <f t="array" ref="A10">IFERROR(_xlfn.UNIQUE(_xlfn._xlws.FILTER(Movimentação!C13:C511, Movimentação!C13:C511&lt;&gt;"")), "")</f>
        <v/>
      </c>
      <c r="B10" s="13" t="str">
        <f>IF(A10="","", SUMIF(Movimentação!C:C, A10, Movimentação!G:G))</f>
        <v/>
      </c>
      <c r="C10" s="12" t="str">
        <f>IF(A10="","", SUMIF(Movimentação!C:C, A10, Movimentação!F:F))</f>
        <v/>
      </c>
      <c r="D10" s="12" t="str" cm="1">
        <f t="array" ref="D10">IF(A10="","", _xlfn.TEXTJOIN(", ", TRUE, _xlfn.UNIQUE(_xlfn._xlws.FILTER(Movimentação!$E$2:$E$500, Movimentação!$C$2:$C$500=A10))))</f>
        <v/>
      </c>
      <c r="F10" s="18">
        <v>6</v>
      </c>
      <c r="G10" s="20">
        <f>SUMIF(Movimentação!$B:$B, 6, Movimentação!$G:$G)</f>
        <v>0</v>
      </c>
      <c r="H10" s="20"/>
    </row>
    <row r="11" spans="1:10" ht="24.95" customHeight="1" x14ac:dyDescent="0.25">
      <c r="A11" s="12" t="str" cm="1">
        <f t="array" ref="A11">IFERROR(_xlfn.UNIQUE(_xlfn._xlws.FILTER(Movimentação!C14:C512, Movimentação!C14:C512&lt;&gt;"")), "")</f>
        <v/>
      </c>
      <c r="B11" s="13" t="str">
        <f>IF(A11="","", SUMIF(Movimentação!C:C, A11, Movimentação!G:G))</f>
        <v/>
      </c>
      <c r="C11" s="12" t="str">
        <f>IF(A11="","", SUMIF(Movimentação!C:C, A11, Movimentação!F:F))</f>
        <v/>
      </c>
      <c r="D11" s="12" t="str" cm="1">
        <f t="array" ref="D11">IF(A11="","", _xlfn.TEXTJOIN(", ", TRUE, _xlfn.UNIQUE(_xlfn._xlws.FILTER(Movimentação!$E$2:$E$500, Movimentação!$C$2:$C$500=A11))))</f>
        <v/>
      </c>
      <c r="F11" s="18">
        <v>7</v>
      </c>
      <c r="G11" s="20">
        <f>SUMIF(Movimentação!$B:$B, 7, Movimentação!$G:$G)</f>
        <v>0</v>
      </c>
      <c r="H11" s="20"/>
    </row>
    <row r="12" spans="1:10" ht="24.95" customHeight="1" x14ac:dyDescent="0.25">
      <c r="A12" s="12" t="str" cm="1">
        <f t="array" ref="A12">IFERROR(_xlfn.UNIQUE(_xlfn._xlws.FILTER(Movimentação!C15:C513, Movimentação!C15:C513&lt;&gt;"")), "")</f>
        <v/>
      </c>
      <c r="B12" s="13" t="str">
        <f>IF(A12="","", SUMIF(Movimentação!C:C, A12, Movimentação!G:G))</f>
        <v/>
      </c>
      <c r="C12" s="12" t="str">
        <f>IF(A12="","", SUMIF(Movimentação!C:C, A12, Movimentação!F:F))</f>
        <v/>
      </c>
      <c r="D12" s="12" t="str" cm="1">
        <f t="array" ref="D12">IF(A12="","", _xlfn.TEXTJOIN(", ", TRUE, _xlfn.UNIQUE(_xlfn._xlws.FILTER(Movimentação!$E$2:$E$500, Movimentação!$C$2:$C$500=A12))))</f>
        <v/>
      </c>
      <c r="F12" s="18">
        <v>8</v>
      </c>
      <c r="G12" s="20">
        <f>SUMIF(Movimentação!$B:$B, 8, Movimentação!$G:$G)</f>
        <v>0</v>
      </c>
      <c r="H12" s="20"/>
    </row>
    <row r="13" spans="1:10" ht="24.95" customHeight="1" x14ac:dyDescent="0.25">
      <c r="A13" s="12" t="str" cm="1">
        <f t="array" ref="A13">IFERROR(_xlfn.UNIQUE(_xlfn._xlws.FILTER(Movimentação!C16:C514, Movimentação!C16:C514&lt;&gt;"")), "")</f>
        <v/>
      </c>
      <c r="B13" s="13" t="str">
        <f>IF(A13="","", SUMIF(Movimentação!C:C, A13, Movimentação!G:G))</f>
        <v/>
      </c>
      <c r="C13" s="12" t="str">
        <f>IF(A13="","", SUMIF(Movimentação!C:C, A13, Movimentação!F:F))</f>
        <v/>
      </c>
      <c r="D13" s="12" t="str" cm="1">
        <f t="array" ref="D13">IF(A13="","", _xlfn.TEXTJOIN(", ", TRUE, _xlfn.UNIQUE(_xlfn._xlws.FILTER(Movimentação!$E$2:$E$500, Movimentação!$C$2:$C$500=A13))))</f>
        <v/>
      </c>
      <c r="F13" s="18">
        <v>9</v>
      </c>
      <c r="G13" s="20">
        <f>SUMIF(Movimentação!$B:$B, 9, Movimentação!$G:$G)</f>
        <v>0</v>
      </c>
      <c r="H13" s="20"/>
    </row>
    <row r="14" spans="1:10" ht="24.95" customHeight="1" x14ac:dyDescent="0.25">
      <c r="A14" s="12" t="str" cm="1">
        <f t="array" ref="A14">IFERROR(_xlfn.UNIQUE(_xlfn._xlws.FILTER(Movimentação!C17:C515, Movimentação!C17:C515&lt;&gt;"")), "")</f>
        <v/>
      </c>
      <c r="B14" s="13" t="str">
        <f>IF(A14="","", SUMIF(Movimentação!C:C, A14, Movimentação!G:G))</f>
        <v/>
      </c>
      <c r="C14" s="12" t="str">
        <f>IF(A14="","", SUMIF(Movimentação!C:C, A14, Movimentação!F:F))</f>
        <v/>
      </c>
      <c r="D14" s="12" t="str" cm="1">
        <f t="array" ref="D14">IF(A14="","", _xlfn.TEXTJOIN(", ", TRUE, _xlfn.UNIQUE(_xlfn._xlws.FILTER(Movimentação!$E$2:$E$500, Movimentação!$C$2:$C$500=A14))))</f>
        <v/>
      </c>
      <c r="F14" s="18">
        <v>10</v>
      </c>
      <c r="G14" s="20">
        <f>SUMIF(Movimentação!$B:$B, 10, Movimentação!$G:$G)</f>
        <v>0</v>
      </c>
      <c r="H14" s="20"/>
    </row>
    <row r="15" spans="1:10" ht="24.95" customHeight="1" x14ac:dyDescent="0.25">
      <c r="A15" s="12" t="str" cm="1">
        <f t="array" ref="A15">IFERROR(_xlfn.UNIQUE(_xlfn._xlws.FILTER(Movimentação!C18:C516, Movimentação!C18:C516&lt;&gt;"")), "")</f>
        <v/>
      </c>
      <c r="B15" s="13" t="str">
        <f>IF(A15="","", SUMIF(Movimentação!C:C, A15, Movimentação!G:G))</f>
        <v/>
      </c>
      <c r="C15" s="12" t="str">
        <f>IF(A15="","", SUMIF(Movimentação!C:C, A15, Movimentação!F:F))</f>
        <v/>
      </c>
      <c r="D15" s="12" t="str" cm="1">
        <f t="array" ref="D15">IF(A15="","", _xlfn.TEXTJOIN(", ", TRUE, _xlfn.UNIQUE(_xlfn._xlws.FILTER(Movimentação!$E$2:$E$500, Movimentação!$C$2:$C$500=A15))))</f>
        <v/>
      </c>
      <c r="F15" s="18">
        <v>11</v>
      </c>
      <c r="G15" s="20">
        <f>SUMIF(Movimentação!$B:$B, 11, Movimentação!$G:$G)</f>
        <v>0</v>
      </c>
      <c r="H15" s="20"/>
    </row>
    <row r="16" spans="1:10" ht="24.95" customHeight="1" x14ac:dyDescent="0.25">
      <c r="A16" s="12" t="str" cm="1">
        <f t="array" ref="A16">IFERROR(_xlfn.UNIQUE(_xlfn._xlws.FILTER(Movimentação!C19:C517, Movimentação!C19:C517&lt;&gt;"")), "")</f>
        <v/>
      </c>
      <c r="B16" s="13" t="str">
        <f>IF(A16="","", SUMIF(Movimentação!C:C, A16, Movimentação!G:G))</f>
        <v/>
      </c>
      <c r="C16" s="12" t="str">
        <f>IF(A16="","", SUMIF(Movimentação!C:C, A16, Movimentação!F:F))</f>
        <v/>
      </c>
      <c r="D16" s="12" t="str" cm="1">
        <f t="array" ref="D16">IF(A16="","", _xlfn.TEXTJOIN(", ", TRUE, _xlfn.UNIQUE(_xlfn._xlws.FILTER(Movimentação!$E$2:$E$500, Movimentação!$C$2:$C$500=A16))))</f>
        <v/>
      </c>
      <c r="F16" s="18">
        <v>12</v>
      </c>
      <c r="G16" s="20">
        <f>SUMIF(Movimentação!$B:$B, 12, Movimentação!$G:$G)</f>
        <v>0</v>
      </c>
      <c r="H16" s="20"/>
    </row>
    <row r="17" spans="1:4" ht="24.95" customHeight="1" x14ac:dyDescent="0.25">
      <c r="A17" s="12" t="str" cm="1">
        <f t="array" ref="A17">IFERROR(_xlfn.UNIQUE(_xlfn._xlws.FILTER(Movimentação!C20:C518, Movimentação!C20:C518&lt;&gt;"")), "")</f>
        <v/>
      </c>
      <c r="B17" s="13" t="str">
        <f>IF(A17="","", SUMIF(Movimentação!C:C, A17, Movimentação!G:G))</f>
        <v/>
      </c>
      <c r="C17" s="12" t="str">
        <f>IF(A17="","", SUMIF(Movimentação!C:C, A17, Movimentação!F:F))</f>
        <v/>
      </c>
      <c r="D17" s="12" t="str" cm="1">
        <f t="array" ref="D17">IF(A17="","", _xlfn.TEXTJOIN(", ", TRUE, _xlfn.UNIQUE(_xlfn._xlws.FILTER(Movimentação!$E$2:$E$500, Movimentação!$C$2:$C$500=A17))))</f>
        <v/>
      </c>
    </row>
    <row r="18" spans="1:4" ht="24.95" customHeight="1" x14ac:dyDescent="0.25">
      <c r="A18" s="12" t="str" cm="1">
        <f t="array" ref="A18">IFERROR(_xlfn.UNIQUE(_xlfn._xlws.FILTER(Movimentação!C21:C519, Movimentação!C21:C519&lt;&gt;"")), "")</f>
        <v/>
      </c>
      <c r="B18" s="13" t="str">
        <f>IF(A18="","", SUMIF(Movimentação!C:C, A18, Movimentação!G:G))</f>
        <v/>
      </c>
      <c r="C18" s="12" t="str">
        <f>IF(A18="","", SUMIF(Movimentação!C:C, A18, Movimentação!F:F))</f>
        <v/>
      </c>
      <c r="D18" s="12" t="str" cm="1">
        <f t="array" ref="D18">IF(A18="","", _xlfn.TEXTJOIN(", ", TRUE, _xlfn.UNIQUE(_xlfn._xlws.FILTER(Movimentação!$E$2:$E$500, Movimentação!$C$2:$C$500=A18))))</f>
        <v/>
      </c>
    </row>
    <row r="19" spans="1:4" ht="24.95" customHeight="1" x14ac:dyDescent="0.25">
      <c r="A19" s="12" t="str" cm="1">
        <f t="array" ref="A19">IFERROR(_xlfn.UNIQUE(_xlfn._xlws.FILTER(Movimentação!C22:C520, Movimentação!C22:C520&lt;&gt;"")), "")</f>
        <v/>
      </c>
      <c r="B19" s="13" t="str">
        <f>IF(A19="","", SUMIF(Movimentação!C:C, A19, Movimentação!G:G))</f>
        <v/>
      </c>
      <c r="C19" s="12" t="str">
        <f>IF(A19="","", SUMIF(Movimentação!C:C, A19, Movimentação!F:F))</f>
        <v/>
      </c>
      <c r="D19" s="12" t="str" cm="1">
        <f t="array" ref="D19">IF(A19="","", _xlfn.TEXTJOIN(", ", TRUE, _xlfn.UNIQUE(_xlfn._xlws.FILTER(Movimentação!$E$2:$E$500, Movimentação!$C$2:$C$500=A19))))</f>
        <v/>
      </c>
    </row>
    <row r="20" spans="1:4" ht="24.95" customHeight="1" x14ac:dyDescent="0.25">
      <c r="A20" s="12" t="str" cm="1">
        <f t="array" ref="A20">IFERROR(_xlfn.UNIQUE(_xlfn._xlws.FILTER(Movimentação!C23:C521, Movimentação!C23:C521&lt;&gt;"")), "")</f>
        <v/>
      </c>
      <c r="B20" s="13" t="str">
        <f>IF(A20="","", SUMIF(Movimentação!C:C, A20, Movimentação!G:G))</f>
        <v/>
      </c>
      <c r="C20" s="12" t="str">
        <f>IF(A20="","", SUMIF(Movimentação!C:C, A20, Movimentação!F:F))</f>
        <v/>
      </c>
      <c r="D20" s="12" t="str" cm="1">
        <f t="array" ref="D20">IF(A20="","", _xlfn.TEXTJOIN(", ", TRUE, _xlfn.UNIQUE(_xlfn._xlws.FILTER(Movimentação!$E$2:$E$500, Movimentação!$C$2:$C$500=A20))))</f>
        <v/>
      </c>
    </row>
    <row r="21" spans="1:4" ht="24.95" customHeight="1" x14ac:dyDescent="0.25">
      <c r="A21" s="12" t="str" cm="1">
        <f t="array" ref="A21">IFERROR(_xlfn.UNIQUE(_xlfn._xlws.FILTER(Movimentação!C24:C522, Movimentação!C24:C522&lt;&gt;"")), "")</f>
        <v/>
      </c>
      <c r="B21" s="13" t="str">
        <f>IF(A21="","", SUMIF(Movimentação!C:C, A21, Movimentação!G:G))</f>
        <v/>
      </c>
      <c r="C21" s="12" t="str">
        <f>IF(A21="","", SUMIF(Movimentação!C:C, A21, Movimentação!F:F))</f>
        <v/>
      </c>
      <c r="D21" s="12" t="str" cm="1">
        <f t="array" ref="D21">IF(A21="","", _xlfn.TEXTJOIN(", ", TRUE, _xlfn.UNIQUE(_xlfn._xlws.FILTER(Movimentação!$E$2:$E$500, Movimentação!$C$2:$C$500=A21))))</f>
        <v/>
      </c>
    </row>
    <row r="22" spans="1:4" ht="24.95" customHeight="1" x14ac:dyDescent="0.25">
      <c r="A22" s="12" t="str" cm="1">
        <f t="array" ref="A22">IFERROR(_xlfn.UNIQUE(_xlfn._xlws.FILTER(Movimentação!C25:C523, Movimentação!C25:C523&lt;&gt;"")), "")</f>
        <v/>
      </c>
      <c r="B22" s="13" t="str">
        <f>IF(A22="","", SUMIF(Movimentação!C:C, A22, Movimentação!G:G))</f>
        <v/>
      </c>
      <c r="C22" s="12" t="str">
        <f>IF(A22="","", SUMIF(Movimentação!C:C, A22, Movimentação!F:F))</f>
        <v/>
      </c>
      <c r="D22" s="12" t="str" cm="1">
        <f t="array" ref="D22">IF(A22="","", _xlfn.TEXTJOIN(", ", TRUE, _xlfn.UNIQUE(_xlfn._xlws.FILTER(Movimentação!$E$2:$E$500, Movimentação!$C$2:$C$500=A22))))</f>
        <v/>
      </c>
    </row>
    <row r="23" spans="1:4" ht="24.95" customHeight="1" x14ac:dyDescent="0.25">
      <c r="A23" s="12" t="str" cm="1">
        <f t="array" ref="A23">IFERROR(_xlfn.UNIQUE(_xlfn._xlws.FILTER(Movimentação!C26:C524, Movimentação!C26:C524&lt;&gt;"")), "")</f>
        <v/>
      </c>
      <c r="B23" s="13" t="str">
        <f>IF(A23="","", SUMIF(Movimentação!C:C, A23, Movimentação!G:G))</f>
        <v/>
      </c>
      <c r="C23" s="12" t="str">
        <f>IF(A23="","", SUMIF(Movimentação!C:C, A23, Movimentação!F:F))</f>
        <v/>
      </c>
      <c r="D23" s="12" t="str" cm="1">
        <f t="array" ref="D23">IF(A23="","", _xlfn.TEXTJOIN(", ", TRUE, _xlfn.UNIQUE(_xlfn._xlws.FILTER(Movimentação!$E$2:$E$500, Movimentação!$C$2:$C$500=A23))))</f>
        <v/>
      </c>
    </row>
    <row r="24" spans="1:4" ht="24.95" customHeight="1" x14ac:dyDescent="0.25">
      <c r="A24" s="12" t="str" cm="1">
        <f t="array" ref="A24">IFERROR(_xlfn.UNIQUE(_xlfn._xlws.FILTER(Movimentação!C27:C525, Movimentação!C27:C525&lt;&gt;"")), "")</f>
        <v/>
      </c>
      <c r="B24" s="13" t="str">
        <f>IF(A24="","", SUMIF(Movimentação!C:C, A24, Movimentação!G:G))</f>
        <v/>
      </c>
      <c r="C24" s="12" t="str">
        <f>IF(A24="","", SUMIF(Movimentação!C:C, A24, Movimentação!F:F))</f>
        <v/>
      </c>
      <c r="D24" s="12" t="str" cm="1">
        <f t="array" ref="D24">IF(A24="","", _xlfn.TEXTJOIN(", ", TRUE, _xlfn.UNIQUE(_xlfn._xlws.FILTER(Movimentação!$E$2:$E$500, Movimentação!$C$2:$C$500=A24))))</f>
        <v/>
      </c>
    </row>
    <row r="25" spans="1:4" ht="24.95" customHeight="1" x14ac:dyDescent="0.25">
      <c r="A25" s="12" t="str" cm="1">
        <f t="array" ref="A25">IFERROR(_xlfn.UNIQUE(_xlfn._xlws.FILTER(Movimentação!C28:C526, Movimentação!C28:C526&lt;&gt;"")), "")</f>
        <v/>
      </c>
      <c r="B25" s="13" t="str">
        <f>IF(A25="","", SUMIF(Movimentação!C:C, A25, Movimentação!G:G))</f>
        <v/>
      </c>
      <c r="C25" s="12" t="str">
        <f>IF(A25="","", SUMIF(Movimentação!C:C, A25, Movimentação!F:F))</f>
        <v/>
      </c>
      <c r="D25" s="12" t="str" cm="1">
        <f t="array" ref="D25">IF(A25="","", _xlfn.TEXTJOIN(", ", TRUE, _xlfn.UNIQUE(_xlfn._xlws.FILTER(Movimentação!$E$2:$E$500, Movimentação!$C$2:$C$500=A25))))</f>
        <v/>
      </c>
    </row>
    <row r="26" spans="1:4" ht="24.95" customHeight="1" x14ac:dyDescent="0.25">
      <c r="A26" s="12" t="str" cm="1">
        <f t="array" ref="A26">IFERROR(_xlfn.UNIQUE(_xlfn._xlws.FILTER(Movimentação!C29:C527, Movimentação!C29:C527&lt;&gt;"")), "")</f>
        <v/>
      </c>
      <c r="B26" s="13" t="str">
        <f>IF(A26="","", SUMIF(Movimentação!C:C, A26, Movimentação!G:G))</f>
        <v/>
      </c>
      <c r="C26" s="12" t="str">
        <f>IF(A26="","", SUMIF(Movimentação!C:C, A26, Movimentação!F:F))</f>
        <v/>
      </c>
      <c r="D26" s="12" t="str" cm="1">
        <f t="array" ref="D26">IF(A26="","", _xlfn.TEXTJOIN(", ", TRUE, _xlfn.UNIQUE(_xlfn._xlws.FILTER(Movimentação!$E$2:$E$500, Movimentação!$C$2:$C$500=A26))))</f>
        <v/>
      </c>
    </row>
    <row r="27" spans="1:4" ht="24.95" customHeight="1" x14ac:dyDescent="0.25">
      <c r="A27" s="12" t="str" cm="1">
        <f t="array" ref="A27">IFERROR(_xlfn.UNIQUE(_xlfn._xlws.FILTER(Movimentação!C30:C528, Movimentação!C30:C528&lt;&gt;"")), "")</f>
        <v/>
      </c>
      <c r="B27" s="13" t="str">
        <f>IF(A27="","", SUMIF(Movimentação!C:C, A27, Movimentação!G:G))</f>
        <v/>
      </c>
      <c r="C27" s="12" t="str">
        <f>IF(A27="","", SUMIF(Movimentação!C:C, A27, Movimentação!F:F))</f>
        <v/>
      </c>
      <c r="D27" s="12" t="str" cm="1">
        <f t="array" ref="D27">IF(A27="","", _xlfn.TEXTJOIN(", ", TRUE, _xlfn.UNIQUE(_xlfn._xlws.FILTER(Movimentação!$E$2:$E$500, Movimentação!$C$2:$C$500=A27))))</f>
        <v/>
      </c>
    </row>
    <row r="28" spans="1:4" ht="24.95" customHeight="1" x14ac:dyDescent="0.25">
      <c r="A28" s="12" t="str" cm="1">
        <f t="array" ref="A28">IFERROR(_xlfn.UNIQUE(_xlfn._xlws.FILTER(Movimentação!C31:C529, Movimentação!C31:C529&lt;&gt;"")), "")</f>
        <v/>
      </c>
      <c r="B28" s="13" t="str">
        <f>IF(A28="","", SUMIF(Movimentação!C:C, A28, Movimentação!G:G))</f>
        <v/>
      </c>
      <c r="C28" s="12" t="str">
        <f>IF(A28="","", SUMIF(Movimentação!C:C, A28, Movimentação!F:F))</f>
        <v/>
      </c>
      <c r="D28" s="12" t="str" cm="1">
        <f t="array" ref="D28">IF(A28="","", _xlfn.TEXTJOIN(", ", TRUE, _xlfn.UNIQUE(_xlfn._xlws.FILTER(Movimentação!$E$2:$E$500, Movimentação!$C$2:$C$500=A28))))</f>
        <v/>
      </c>
    </row>
    <row r="29" spans="1:4" ht="24.95" customHeight="1" x14ac:dyDescent="0.25">
      <c r="A29" s="12" t="str" cm="1">
        <f t="array" ref="A29">IFERROR(_xlfn.UNIQUE(_xlfn._xlws.FILTER(Movimentação!C32:C530, Movimentação!C32:C530&lt;&gt;"")), "")</f>
        <v/>
      </c>
      <c r="B29" s="13" t="str">
        <f>IF(A29="","", SUMIF(Movimentação!C:C, A29, Movimentação!G:G))</f>
        <v/>
      </c>
      <c r="C29" s="12" t="str">
        <f>IF(A29="","", SUMIF(Movimentação!C:C, A29, Movimentação!F:F))</f>
        <v/>
      </c>
      <c r="D29" s="12" t="str" cm="1">
        <f t="array" ref="D29">IF(A29="","", _xlfn.TEXTJOIN(", ", TRUE, _xlfn.UNIQUE(_xlfn._xlws.FILTER(Movimentação!$E$2:$E$500, Movimentação!$C$2:$C$500=A29))))</f>
        <v/>
      </c>
    </row>
    <row r="30" spans="1:4" ht="24.95" customHeight="1" x14ac:dyDescent="0.25">
      <c r="A30" s="12" t="str" cm="1">
        <f t="array" ref="A30">IFERROR(_xlfn.UNIQUE(_xlfn._xlws.FILTER(Movimentação!C33:C531, Movimentação!C33:C531&lt;&gt;"")), "")</f>
        <v/>
      </c>
      <c r="B30" s="13" t="str">
        <f>IF(A30="","", SUMIF(Movimentação!C:C, A30, Movimentação!G:G))</f>
        <v/>
      </c>
      <c r="C30" s="12" t="str">
        <f>IF(A30="","", SUMIF(Movimentação!C:C, A30, Movimentação!F:F))</f>
        <v/>
      </c>
      <c r="D30" s="12" t="str" cm="1">
        <f t="array" ref="D30">IF(A30="","", _xlfn.TEXTJOIN(", ", TRUE, _xlfn.UNIQUE(_xlfn._xlws.FILTER(Movimentação!$E$2:$E$500, Movimentação!$C$2:$C$500=A30))))</f>
        <v/>
      </c>
    </row>
    <row r="31" spans="1:4" ht="24.95" customHeight="1" x14ac:dyDescent="0.25">
      <c r="A31" s="12" t="str" cm="1">
        <f t="array" ref="A31">IFERROR(_xlfn.UNIQUE(_xlfn._xlws.FILTER(Movimentação!C34:C532, Movimentação!C34:C532&lt;&gt;"")), "")</f>
        <v/>
      </c>
      <c r="B31" s="13" t="str">
        <f>IF(A31="","", SUMIF(Movimentação!C:C, A31, Movimentação!G:G))</f>
        <v/>
      </c>
      <c r="C31" s="12" t="str">
        <f>IF(A31="","", SUMIF(Movimentação!C:C, A31, Movimentação!F:F))</f>
        <v/>
      </c>
      <c r="D31" s="12" t="str" cm="1">
        <f t="array" ref="D31">IF(A31="","", _xlfn.TEXTJOIN(", ", TRUE, _xlfn.UNIQUE(_xlfn._xlws.FILTER(Movimentação!$E$2:$E$500, Movimentação!$C$2:$C$500=A31))))</f>
        <v/>
      </c>
    </row>
    <row r="32" spans="1:4" ht="24.95" customHeight="1" x14ac:dyDescent="0.25">
      <c r="A32" s="12" t="str" cm="1">
        <f t="array" ref="A32">IFERROR(_xlfn.UNIQUE(_xlfn._xlws.FILTER(Movimentação!C35:C533, Movimentação!C35:C533&lt;&gt;"")), "")</f>
        <v/>
      </c>
      <c r="B32" s="13" t="str">
        <f>IF(A32="","", SUMIF(Movimentação!C:C, A32, Movimentação!G:G))</f>
        <v/>
      </c>
      <c r="C32" s="12" t="str">
        <f>IF(A32="","", SUMIF(Movimentação!C:C, A32, Movimentação!F:F))</f>
        <v/>
      </c>
      <c r="D32" s="12" t="str" cm="1">
        <f t="array" ref="D32">IF(A32="","", _xlfn.TEXTJOIN(", ", TRUE, _xlfn.UNIQUE(_xlfn._xlws.FILTER(Movimentação!$E$2:$E$500, Movimentação!$C$2:$C$500=A32))))</f>
        <v/>
      </c>
    </row>
    <row r="33" spans="1:4" ht="24.95" customHeight="1" x14ac:dyDescent="0.25">
      <c r="A33" s="12" t="str" cm="1">
        <f t="array" ref="A33">IFERROR(_xlfn.UNIQUE(_xlfn._xlws.FILTER(Movimentação!C36:C534, Movimentação!C36:C534&lt;&gt;"")), "")</f>
        <v/>
      </c>
      <c r="B33" s="13" t="str">
        <f>IF(A33="","", SUMIF(Movimentação!C:C, A33, Movimentação!G:G))</f>
        <v/>
      </c>
      <c r="C33" s="12" t="str">
        <f>IF(A33="","", SUMIF(Movimentação!C:C, A33, Movimentação!F:F))</f>
        <v/>
      </c>
      <c r="D33" s="12" t="str" cm="1">
        <f t="array" ref="D33">IF(A33="","", _xlfn.TEXTJOIN(", ", TRUE, _xlfn.UNIQUE(_xlfn._xlws.FILTER(Movimentação!$E$2:$E$500, Movimentação!$C$2:$C$500=A33))))</f>
        <v/>
      </c>
    </row>
    <row r="34" spans="1:4" ht="24.95" customHeight="1" x14ac:dyDescent="0.25">
      <c r="A34" s="12" t="str" cm="1">
        <f t="array" ref="A34">IFERROR(_xlfn.UNIQUE(_xlfn._xlws.FILTER(Movimentação!C37:C535, Movimentação!C37:C535&lt;&gt;"")), "")</f>
        <v/>
      </c>
      <c r="B34" s="13" t="str">
        <f>IF(A34="","", SUMIF(Movimentação!C:C, A34, Movimentação!G:G))</f>
        <v/>
      </c>
      <c r="C34" s="12" t="str">
        <f>IF(A34="","", SUMIF(Movimentação!C:C, A34, Movimentação!F:F))</f>
        <v/>
      </c>
      <c r="D34" s="12" t="str" cm="1">
        <f t="array" ref="D34">IF(A34="","", _xlfn.TEXTJOIN(", ", TRUE, _xlfn.UNIQUE(_xlfn._xlws.FILTER(Movimentação!$E$2:$E$500, Movimentação!$C$2:$C$500=A34))))</f>
        <v/>
      </c>
    </row>
    <row r="35" spans="1:4" ht="24.95" customHeight="1" x14ac:dyDescent="0.25">
      <c r="A35" s="12" t="str" cm="1">
        <f t="array" ref="A35">IFERROR(_xlfn.UNIQUE(_xlfn._xlws.FILTER(Movimentação!C38:C536, Movimentação!C38:C536&lt;&gt;"")), "")</f>
        <v/>
      </c>
      <c r="B35" s="13" t="str">
        <f>IF(A35="","", SUMIF(Movimentação!C:C, A35, Movimentação!G:G))</f>
        <v/>
      </c>
      <c r="C35" s="12" t="str">
        <f>IF(A35="","", SUMIF(Movimentação!C:C, A35, Movimentação!F:F))</f>
        <v/>
      </c>
      <c r="D35" s="12" t="str" cm="1">
        <f t="array" ref="D35">IF(A35="","", _xlfn.TEXTJOIN(", ", TRUE, _xlfn.UNIQUE(_xlfn._xlws.FILTER(Movimentação!$E$2:$E$500, Movimentação!$C$2:$C$500=A35))))</f>
        <v/>
      </c>
    </row>
    <row r="36" spans="1:4" ht="24.95" customHeight="1" x14ac:dyDescent="0.25">
      <c r="A36" s="12" t="str" cm="1">
        <f t="array" ref="A36">IFERROR(_xlfn.UNIQUE(_xlfn._xlws.FILTER(Movimentação!C39:C537, Movimentação!C39:C537&lt;&gt;"")), "")</f>
        <v/>
      </c>
      <c r="B36" s="13" t="str">
        <f>IF(A36="","", SUMIF(Movimentação!C:C, A36, Movimentação!G:G))</f>
        <v/>
      </c>
      <c r="C36" s="12" t="str">
        <f>IF(A36="","", SUMIF(Movimentação!C:C, A36, Movimentação!F:F))</f>
        <v/>
      </c>
      <c r="D36" s="12" t="str" cm="1">
        <f t="array" ref="D36">IF(A36="","", _xlfn.TEXTJOIN(", ", TRUE, _xlfn.UNIQUE(_xlfn._xlws.FILTER(Movimentação!$E$2:$E$500, Movimentação!$C$2:$C$500=A36))))</f>
        <v/>
      </c>
    </row>
    <row r="37" spans="1:4" ht="24.95" customHeight="1" x14ac:dyDescent="0.25">
      <c r="A37" s="12" t="str" cm="1">
        <f t="array" ref="A37">IFERROR(_xlfn.UNIQUE(_xlfn._xlws.FILTER(Movimentação!C40:C538, Movimentação!C40:C538&lt;&gt;"")), "")</f>
        <v/>
      </c>
      <c r="B37" s="13" t="str">
        <f>IF(A37="","", SUMIF(Movimentação!C:C, A37, Movimentação!G:G))</f>
        <v/>
      </c>
      <c r="C37" s="12" t="str">
        <f>IF(A37="","", SUMIF(Movimentação!C:C, A37, Movimentação!F:F))</f>
        <v/>
      </c>
      <c r="D37" s="12" t="str" cm="1">
        <f t="array" ref="D37">IF(A37="","", _xlfn.TEXTJOIN(", ", TRUE, _xlfn.UNIQUE(_xlfn._xlws.FILTER(Movimentação!$E$2:$E$500, Movimentação!$C$2:$C$500=A37))))</f>
        <v/>
      </c>
    </row>
    <row r="38" spans="1:4" ht="24.95" customHeight="1" x14ac:dyDescent="0.25">
      <c r="A38" s="12" t="str" cm="1">
        <f t="array" ref="A38">IFERROR(_xlfn.UNIQUE(_xlfn._xlws.FILTER(Movimentação!C41:C539, Movimentação!C41:C539&lt;&gt;"")), "")</f>
        <v/>
      </c>
      <c r="B38" s="13" t="str">
        <f>IF(A38="","", SUMIF(Movimentação!C:C, A38, Movimentação!G:G))</f>
        <v/>
      </c>
      <c r="C38" s="12" t="str">
        <f>IF(A38="","", SUMIF(Movimentação!C:C, A38, Movimentação!F:F))</f>
        <v/>
      </c>
      <c r="D38" s="12" t="str" cm="1">
        <f t="array" ref="D38">IF(A38="","", _xlfn.TEXTJOIN(", ", TRUE, _xlfn.UNIQUE(_xlfn._xlws.FILTER(Movimentação!$E$2:$E$500, Movimentação!$C$2:$C$500=A38))))</f>
        <v/>
      </c>
    </row>
    <row r="39" spans="1:4" ht="24.95" customHeight="1" x14ac:dyDescent="0.25">
      <c r="A39" s="12" t="str" cm="1">
        <f t="array" ref="A39">IFERROR(_xlfn.UNIQUE(_xlfn._xlws.FILTER(Movimentação!C42:C540, Movimentação!C42:C540&lt;&gt;"")), "")</f>
        <v/>
      </c>
      <c r="B39" s="13" t="str">
        <f>IF(A39="","", SUMIF(Movimentação!C:C, A39, Movimentação!G:G))</f>
        <v/>
      </c>
      <c r="C39" s="12" t="str">
        <f>IF(A39="","", SUMIF(Movimentação!C:C, A39, Movimentação!F:F))</f>
        <v/>
      </c>
      <c r="D39" s="12" t="str" cm="1">
        <f t="array" ref="D39">IF(A39="","", _xlfn.TEXTJOIN(", ", TRUE, _xlfn.UNIQUE(_xlfn._xlws.FILTER(Movimentação!$E$2:$E$500, Movimentação!$C$2:$C$500=A39))))</f>
        <v/>
      </c>
    </row>
    <row r="40" spans="1:4" ht="24.95" customHeight="1" x14ac:dyDescent="0.25">
      <c r="A40" s="12" t="str" cm="1">
        <f t="array" ref="A40">IFERROR(_xlfn.UNIQUE(_xlfn._xlws.FILTER(Movimentação!C43:C541, Movimentação!C43:C541&lt;&gt;"")), "")</f>
        <v/>
      </c>
      <c r="B40" s="13" t="str">
        <f>IF(A40="","", SUMIF(Movimentação!C:C, A40, Movimentação!G:G))</f>
        <v/>
      </c>
      <c r="C40" s="12" t="str">
        <f>IF(A40="","", SUMIF(Movimentação!C:C, A40, Movimentação!F:F))</f>
        <v/>
      </c>
      <c r="D40" s="12" t="str" cm="1">
        <f t="array" ref="D40">IF(A40="","", _xlfn.TEXTJOIN(", ", TRUE, _xlfn.UNIQUE(_xlfn._xlws.FILTER(Movimentação!$E$2:$E$500, Movimentação!$C$2:$C$500=A40))))</f>
        <v/>
      </c>
    </row>
    <row r="41" spans="1:4" ht="24.95" customHeight="1" x14ac:dyDescent="0.25">
      <c r="A41" s="12" t="str" cm="1">
        <f t="array" ref="A41">IFERROR(_xlfn.UNIQUE(_xlfn._xlws.FILTER(Movimentação!C44:C542, Movimentação!C44:C542&lt;&gt;"")), "")</f>
        <v/>
      </c>
      <c r="B41" s="13" t="str">
        <f>IF(A41="","", SUMIF(Movimentação!C:C, A41, Movimentação!G:G))</f>
        <v/>
      </c>
      <c r="C41" s="12" t="str">
        <f>IF(A41="","", SUMIF(Movimentação!C:C, A41, Movimentação!F:F))</f>
        <v/>
      </c>
      <c r="D41" s="12" t="str" cm="1">
        <f t="array" ref="D41">IF(A41="","", _xlfn.TEXTJOIN(", ", TRUE, _xlfn.UNIQUE(_xlfn._xlws.FILTER(Movimentação!$E$2:$E$500, Movimentação!$C$2:$C$500=A41))))</f>
        <v/>
      </c>
    </row>
    <row r="42" spans="1:4" ht="24.95" customHeight="1" x14ac:dyDescent="0.25">
      <c r="A42" s="12" t="str" cm="1">
        <f t="array" ref="A42">IFERROR(_xlfn.UNIQUE(_xlfn._xlws.FILTER(Movimentação!C45:C543, Movimentação!C45:C543&lt;&gt;"")), "")</f>
        <v/>
      </c>
      <c r="B42" s="13" t="str">
        <f>IF(A42="","", SUMIF(Movimentação!C:C, A42, Movimentação!G:G))</f>
        <v/>
      </c>
      <c r="C42" s="12" t="str">
        <f>IF(A42="","", SUMIF(Movimentação!C:C, A42, Movimentação!F:F))</f>
        <v/>
      </c>
      <c r="D42" s="12" t="str" cm="1">
        <f t="array" ref="D42">IF(A42="","", _xlfn.TEXTJOIN(", ", TRUE, _xlfn.UNIQUE(_xlfn._xlws.FILTER(Movimentação!$E$2:$E$500, Movimentação!$C$2:$C$500=A42))))</f>
        <v/>
      </c>
    </row>
    <row r="43" spans="1:4" ht="24.95" customHeight="1" x14ac:dyDescent="0.25">
      <c r="A43" s="12" t="str" cm="1">
        <f t="array" ref="A43">IFERROR(_xlfn.UNIQUE(_xlfn._xlws.FILTER(Movimentação!C46:C544, Movimentação!C46:C544&lt;&gt;"")), "")</f>
        <v/>
      </c>
      <c r="B43" s="13" t="str">
        <f>IF(A43="","", SUMIF(Movimentação!C:C, A43, Movimentação!G:G))</f>
        <v/>
      </c>
      <c r="C43" s="12" t="str">
        <f>IF(A43="","", SUMIF(Movimentação!C:C, A43, Movimentação!F:F))</f>
        <v/>
      </c>
      <c r="D43" s="12" t="str" cm="1">
        <f t="array" ref="D43">IF(A43="","", _xlfn.TEXTJOIN(", ", TRUE, _xlfn.UNIQUE(_xlfn._xlws.FILTER(Movimentação!$E$2:$E$500, Movimentação!$C$2:$C$500=A43))))</f>
        <v/>
      </c>
    </row>
    <row r="44" spans="1:4" ht="24.95" customHeight="1" x14ac:dyDescent="0.25">
      <c r="A44" s="12" t="str" cm="1">
        <f t="array" ref="A44">IFERROR(_xlfn.UNIQUE(_xlfn._xlws.FILTER(Movimentação!C47:C545, Movimentação!C47:C545&lt;&gt;"")), "")</f>
        <v/>
      </c>
      <c r="B44" s="13" t="str">
        <f>IF(A44="","", SUMIF(Movimentação!C:C, A44, Movimentação!G:G))</f>
        <v/>
      </c>
      <c r="C44" s="12" t="str">
        <f>IF(A44="","", SUMIF(Movimentação!C:C, A44, Movimentação!F:F))</f>
        <v/>
      </c>
      <c r="D44" s="12" t="str" cm="1">
        <f t="array" ref="D44">IF(A44="","", _xlfn.TEXTJOIN(", ", TRUE, _xlfn.UNIQUE(_xlfn._xlws.FILTER(Movimentação!$E$2:$E$500, Movimentação!$C$2:$C$500=A44))))</f>
        <v/>
      </c>
    </row>
    <row r="45" spans="1:4" ht="24.95" customHeight="1" x14ac:dyDescent="0.25">
      <c r="A45" s="12" t="str" cm="1">
        <f t="array" ref="A45">IFERROR(_xlfn.UNIQUE(_xlfn._xlws.FILTER(Movimentação!C48:C546, Movimentação!C48:C546&lt;&gt;"")), "")</f>
        <v/>
      </c>
      <c r="B45" s="13" t="str">
        <f>IF(A45="","", SUMIF(Movimentação!C:C, A45, Movimentação!G:G))</f>
        <v/>
      </c>
      <c r="C45" s="12" t="str">
        <f>IF(A45="","", SUMIF(Movimentação!C:C, A45, Movimentação!F:F))</f>
        <v/>
      </c>
      <c r="D45" s="12" t="str" cm="1">
        <f t="array" ref="D45">IF(A45="","", _xlfn.TEXTJOIN(", ", TRUE, _xlfn.UNIQUE(_xlfn._xlws.FILTER(Movimentação!$E$2:$E$500, Movimentação!$C$2:$C$500=A45))))</f>
        <v/>
      </c>
    </row>
    <row r="46" spans="1:4" ht="24.95" customHeight="1" x14ac:dyDescent="0.25">
      <c r="A46" s="12" t="str" cm="1">
        <f t="array" ref="A46">IFERROR(_xlfn.UNIQUE(_xlfn._xlws.FILTER(Movimentação!C49:C547, Movimentação!C49:C547&lt;&gt;"")), "")</f>
        <v/>
      </c>
      <c r="B46" s="13" t="str">
        <f>IF(A46="","", SUMIF(Movimentação!C:C, A46, Movimentação!G:G))</f>
        <v/>
      </c>
      <c r="C46" s="12" t="str">
        <f>IF(A46="","", SUMIF(Movimentação!C:C, A46, Movimentação!F:F))</f>
        <v/>
      </c>
      <c r="D46" s="12" t="str" cm="1">
        <f t="array" ref="D46">IF(A46="","", _xlfn.TEXTJOIN(", ", TRUE, _xlfn.UNIQUE(_xlfn._xlws.FILTER(Movimentação!$E$2:$E$500, Movimentação!$C$2:$C$500=A46))))</f>
        <v/>
      </c>
    </row>
    <row r="47" spans="1:4" ht="24.95" customHeight="1" x14ac:dyDescent="0.25">
      <c r="A47" s="12" t="str" cm="1">
        <f t="array" ref="A47">IFERROR(_xlfn.UNIQUE(_xlfn._xlws.FILTER(Movimentação!C50:C548, Movimentação!C50:C548&lt;&gt;"")), "")</f>
        <v/>
      </c>
      <c r="B47" s="13" t="str">
        <f>IF(A47="","", SUMIF(Movimentação!C:C, A47, Movimentação!G:G))</f>
        <v/>
      </c>
      <c r="C47" s="12" t="str">
        <f>IF(A47="","", SUMIF(Movimentação!C:C, A47, Movimentação!F:F))</f>
        <v/>
      </c>
      <c r="D47" s="12" t="str" cm="1">
        <f t="array" ref="D47">IF(A47="","", _xlfn.TEXTJOIN(", ", TRUE, _xlfn.UNIQUE(_xlfn._xlws.FILTER(Movimentação!$E$2:$E$500, Movimentação!$C$2:$C$500=A47))))</f>
        <v/>
      </c>
    </row>
    <row r="48" spans="1:4" ht="24.95" customHeight="1" x14ac:dyDescent="0.25">
      <c r="A48" s="12" t="str" cm="1">
        <f t="array" ref="A48">IFERROR(_xlfn.UNIQUE(_xlfn._xlws.FILTER(Movimentação!C51:C549, Movimentação!C51:C549&lt;&gt;"")), "")</f>
        <v/>
      </c>
      <c r="B48" s="13" t="str">
        <f>IF(A48="","", SUMIF(Movimentação!C:C, A48, Movimentação!G:G))</f>
        <v/>
      </c>
      <c r="C48" s="12" t="str">
        <f>IF(A48="","", SUMIF(Movimentação!C:C, A48, Movimentação!F:F))</f>
        <v/>
      </c>
      <c r="D48" s="12" t="str" cm="1">
        <f t="array" ref="D48">IF(A48="","", _xlfn.TEXTJOIN(", ", TRUE, _xlfn.UNIQUE(_xlfn._xlws.FILTER(Movimentação!$E$2:$E$500, Movimentação!$C$2:$C$500=A48))))</f>
        <v/>
      </c>
    </row>
    <row r="49" spans="1:4" ht="24.95" customHeight="1" x14ac:dyDescent="0.25">
      <c r="A49" s="12" t="str" cm="1">
        <f t="array" ref="A49">IFERROR(_xlfn.UNIQUE(_xlfn._xlws.FILTER(Movimentação!C52:C550, Movimentação!C52:C550&lt;&gt;"")), "")</f>
        <v/>
      </c>
      <c r="B49" s="13" t="str">
        <f>IF(A49="","", SUMIF(Movimentação!C:C, A49, Movimentação!G:G))</f>
        <v/>
      </c>
      <c r="C49" s="12" t="str">
        <f>IF(A49="","", SUMIF(Movimentação!C:C, A49, Movimentação!F:F))</f>
        <v/>
      </c>
      <c r="D49" s="12" t="str" cm="1">
        <f t="array" ref="D49">IF(A49="","", _xlfn.TEXTJOIN(", ", TRUE, _xlfn.UNIQUE(_xlfn._xlws.FILTER(Movimentação!$E$2:$E$500, Movimentação!$C$2:$C$500=A49))))</f>
        <v/>
      </c>
    </row>
    <row r="50" spans="1:4" ht="24.95" customHeight="1" x14ac:dyDescent="0.25">
      <c r="A50" s="12" t="str" cm="1">
        <f t="array" ref="A50">IFERROR(_xlfn.UNIQUE(_xlfn._xlws.FILTER(Movimentação!C53:C551, Movimentação!C53:C551&lt;&gt;"")), "")</f>
        <v/>
      </c>
      <c r="B50" s="13" t="str">
        <f>IF(A50="","", SUMIF(Movimentação!C:C, A50, Movimentação!G:G))</f>
        <v/>
      </c>
      <c r="C50" s="12" t="str">
        <f>IF(A50="","", SUMIF(Movimentação!C:C, A50, Movimentação!F:F))</f>
        <v/>
      </c>
      <c r="D50" s="12" t="str" cm="1">
        <f t="array" ref="D50">IF(A50="","", _xlfn.TEXTJOIN(", ", TRUE, _xlfn.UNIQUE(_xlfn._xlws.FILTER(Movimentação!$E$2:$E$500, Movimentação!$C$2:$C$500=A50))))</f>
        <v/>
      </c>
    </row>
    <row r="51" spans="1:4" ht="24.95" customHeight="1" x14ac:dyDescent="0.25">
      <c r="A51" s="12" t="str" cm="1">
        <f t="array" ref="A51">IFERROR(_xlfn.UNIQUE(_xlfn._xlws.FILTER(Movimentação!C54:C552, Movimentação!C54:C552&lt;&gt;"")), "")</f>
        <v/>
      </c>
      <c r="B51" s="13" t="str">
        <f>IF(A51="","", SUMIF(Movimentação!C:C, A51, Movimentação!G:G))</f>
        <v/>
      </c>
      <c r="C51" s="12" t="str">
        <f>IF(A51="","", SUMIF(Movimentação!C:C, A51, Movimentação!F:F))</f>
        <v/>
      </c>
      <c r="D51" s="12" t="str" cm="1">
        <f t="array" ref="D51">IF(A51="","", _xlfn.TEXTJOIN(", ", TRUE, _xlfn.UNIQUE(_xlfn._xlws.FILTER(Movimentação!$E$2:$E$500, Movimentação!$C$2:$C$500=A51))))</f>
        <v/>
      </c>
    </row>
    <row r="52" spans="1:4" ht="24.95" customHeight="1" x14ac:dyDescent="0.25">
      <c r="A52" s="12" t="str" cm="1">
        <f t="array" ref="A52">IFERROR(_xlfn.UNIQUE(_xlfn._xlws.FILTER(Movimentação!C55:C553, Movimentação!C55:C553&lt;&gt;"")), "")</f>
        <v/>
      </c>
      <c r="B52" s="13" t="str">
        <f>IF(A52="","", SUMIF(Movimentação!C:C, A52, Movimentação!G:G))</f>
        <v/>
      </c>
      <c r="C52" s="12" t="str">
        <f>IF(A52="","", SUMIF(Movimentação!C:C, A52, Movimentação!F:F))</f>
        <v/>
      </c>
      <c r="D52" s="12" t="str" cm="1">
        <f t="array" ref="D52">IF(A52="","", _xlfn.TEXTJOIN(", ", TRUE, _xlfn.UNIQUE(_xlfn._xlws.FILTER(Movimentação!$E$2:$E$500, Movimentação!$C$2:$C$500=A52))))</f>
        <v/>
      </c>
    </row>
    <row r="53" spans="1:4" ht="24.95" customHeight="1" x14ac:dyDescent="0.25">
      <c r="A53" s="12" t="str" cm="1">
        <f t="array" ref="A53">IFERROR(_xlfn.UNIQUE(_xlfn._xlws.FILTER(Movimentação!C56:C554, Movimentação!C56:C554&lt;&gt;"")), "")</f>
        <v/>
      </c>
      <c r="B53" s="13" t="str">
        <f>IF(A53="","", SUMIF(Movimentação!C:C, A53, Movimentação!G:G))</f>
        <v/>
      </c>
      <c r="C53" s="12" t="str">
        <f>IF(A53="","", SUMIF(Movimentação!C:C, A53, Movimentação!F:F))</f>
        <v/>
      </c>
      <c r="D53" s="12" t="str" cm="1">
        <f t="array" ref="D53">IF(A53="","", _xlfn.TEXTJOIN(", ", TRUE, _xlfn.UNIQUE(_xlfn._xlws.FILTER(Movimentação!$E$2:$E$500, Movimentação!$C$2:$C$500=A53))))</f>
        <v/>
      </c>
    </row>
    <row r="54" spans="1:4" ht="24.95" customHeight="1" x14ac:dyDescent="0.25">
      <c r="A54" s="12" t="str" cm="1">
        <f t="array" ref="A54">IFERROR(_xlfn.UNIQUE(_xlfn._xlws.FILTER(Movimentação!C57:C555, Movimentação!C57:C555&lt;&gt;"")), "")</f>
        <v/>
      </c>
      <c r="B54" s="13" t="str">
        <f>IF(A54="","", SUMIF(Movimentação!C:C, A54, Movimentação!G:G))</f>
        <v/>
      </c>
      <c r="C54" s="12" t="str">
        <f>IF(A54="","", SUMIF(Movimentação!C:C, A54, Movimentação!F:F))</f>
        <v/>
      </c>
      <c r="D54" s="12" t="str" cm="1">
        <f t="array" ref="D54">IF(A54="","", _xlfn.TEXTJOIN(", ", TRUE, _xlfn.UNIQUE(_xlfn._xlws.FILTER(Movimentação!$E$2:$E$500, Movimentação!$C$2:$C$500=A54))))</f>
        <v/>
      </c>
    </row>
    <row r="55" spans="1:4" ht="24.95" customHeight="1" x14ac:dyDescent="0.25">
      <c r="A55" s="12" t="str" cm="1">
        <f t="array" ref="A55">IFERROR(_xlfn.UNIQUE(_xlfn._xlws.FILTER(Movimentação!C58:C556, Movimentação!C58:C556&lt;&gt;"")), "")</f>
        <v/>
      </c>
      <c r="B55" s="13" t="str">
        <f>IF(A55="","", SUMIF(Movimentação!C:C, A55, Movimentação!G:G))</f>
        <v/>
      </c>
      <c r="C55" s="12" t="str">
        <f>IF(A55="","", SUMIF(Movimentação!C:C, A55, Movimentação!F:F))</f>
        <v/>
      </c>
      <c r="D55" s="12" t="str" cm="1">
        <f t="array" ref="D55">IF(A55="","", _xlfn.TEXTJOIN(", ", TRUE, _xlfn.UNIQUE(_xlfn._xlws.FILTER(Movimentação!$E$2:$E$500, Movimentação!$C$2:$C$500=A55))))</f>
        <v/>
      </c>
    </row>
    <row r="56" spans="1:4" ht="24.95" customHeight="1" x14ac:dyDescent="0.25">
      <c r="A56" s="12" t="str" cm="1">
        <f t="array" ref="A56">IFERROR(_xlfn.UNIQUE(_xlfn._xlws.FILTER(Movimentação!C59:C557, Movimentação!C59:C557&lt;&gt;"")), "")</f>
        <v/>
      </c>
      <c r="B56" s="13" t="str">
        <f>IF(A56="","", SUMIF(Movimentação!C:C, A56, Movimentação!G:G))</f>
        <v/>
      </c>
      <c r="C56" s="12" t="str">
        <f>IF(A56="","", SUMIF(Movimentação!C:C, A56, Movimentação!F:F))</f>
        <v/>
      </c>
      <c r="D56" s="12" t="str" cm="1">
        <f t="array" ref="D56">IF(A56="","", _xlfn.TEXTJOIN(", ", TRUE, _xlfn.UNIQUE(_xlfn._xlws.FILTER(Movimentação!$E$2:$E$500, Movimentação!$C$2:$C$500=A56))))</f>
        <v/>
      </c>
    </row>
    <row r="57" spans="1:4" ht="24.95" customHeight="1" x14ac:dyDescent="0.25">
      <c r="A57" s="12" t="str" cm="1">
        <f t="array" ref="A57">IFERROR(_xlfn.UNIQUE(_xlfn._xlws.FILTER(Movimentação!C60:C558, Movimentação!C60:C558&lt;&gt;"")), "")</f>
        <v/>
      </c>
      <c r="B57" s="13" t="str">
        <f>IF(A57="","", SUMIF(Movimentação!C:C, A57, Movimentação!G:G))</f>
        <v/>
      </c>
      <c r="C57" s="12" t="str">
        <f>IF(A57="","", SUMIF(Movimentação!C:C, A57, Movimentação!F:F))</f>
        <v/>
      </c>
      <c r="D57" s="12" t="str" cm="1">
        <f t="array" ref="D57">IF(A57="","", _xlfn.TEXTJOIN(", ", TRUE, _xlfn.UNIQUE(_xlfn._xlws.FILTER(Movimentação!$E$2:$E$500, Movimentação!$C$2:$C$500=A57))))</f>
        <v/>
      </c>
    </row>
    <row r="58" spans="1:4" ht="24.95" customHeight="1" x14ac:dyDescent="0.25">
      <c r="A58" s="12" t="str" cm="1">
        <f t="array" ref="A58">IFERROR(_xlfn.UNIQUE(_xlfn._xlws.FILTER(Movimentação!C61:C559, Movimentação!C61:C559&lt;&gt;"")), "")</f>
        <v/>
      </c>
      <c r="B58" s="13" t="str">
        <f>IF(A58="","", SUMIF(Movimentação!C:C, A58, Movimentação!G:G))</f>
        <v/>
      </c>
      <c r="C58" s="12" t="str">
        <f>IF(A58="","", SUMIF(Movimentação!C:C, A58, Movimentação!F:F))</f>
        <v/>
      </c>
      <c r="D58" s="12" t="str" cm="1">
        <f t="array" ref="D58">IF(A58="","", _xlfn.TEXTJOIN(", ", TRUE, _xlfn.UNIQUE(_xlfn._xlws.FILTER(Movimentação!$E$2:$E$500, Movimentação!$C$2:$C$500=A58))))</f>
        <v/>
      </c>
    </row>
    <row r="59" spans="1:4" ht="24.95" customHeight="1" x14ac:dyDescent="0.25">
      <c r="A59" s="12" t="str" cm="1">
        <f t="array" ref="A59">IFERROR(_xlfn.UNIQUE(_xlfn._xlws.FILTER(Movimentação!C62:C560, Movimentação!C62:C560&lt;&gt;"")), "")</f>
        <v/>
      </c>
      <c r="B59" s="13" t="str">
        <f>IF(A59="","", SUMIF(Movimentação!C:C, A59, Movimentação!G:G))</f>
        <v/>
      </c>
      <c r="C59" s="12" t="str">
        <f>IF(A59="","", SUMIF(Movimentação!C:C, A59, Movimentação!F:F))</f>
        <v/>
      </c>
      <c r="D59" s="12" t="str" cm="1">
        <f t="array" ref="D59">IF(A59="","", _xlfn.TEXTJOIN(", ", TRUE, _xlfn.UNIQUE(_xlfn._xlws.FILTER(Movimentação!$E$2:$E$500, Movimentação!$C$2:$C$500=A59))))</f>
        <v/>
      </c>
    </row>
    <row r="60" spans="1:4" ht="24.95" customHeight="1" x14ac:dyDescent="0.25">
      <c r="A60" s="12" t="str" cm="1">
        <f t="array" ref="A60">IFERROR(_xlfn.UNIQUE(_xlfn._xlws.FILTER(Movimentação!C63:C561, Movimentação!C63:C561&lt;&gt;"")), "")</f>
        <v/>
      </c>
      <c r="B60" s="13" t="str">
        <f>IF(A60="","", SUMIF(Movimentação!C:C, A60, Movimentação!G:G))</f>
        <v/>
      </c>
      <c r="C60" s="12" t="str">
        <f>IF(A60="","", SUMIF(Movimentação!C:C, A60, Movimentação!F:F))</f>
        <v/>
      </c>
      <c r="D60" s="12" t="str" cm="1">
        <f t="array" ref="D60">IF(A60="","", _xlfn.TEXTJOIN(", ", TRUE, _xlfn.UNIQUE(_xlfn._xlws.FILTER(Movimentação!$E$2:$E$500, Movimentação!$C$2:$C$500=A60))))</f>
        <v/>
      </c>
    </row>
    <row r="61" spans="1:4" ht="24.95" customHeight="1" x14ac:dyDescent="0.25">
      <c r="A61" s="12" t="str" cm="1">
        <f t="array" ref="A61">IFERROR(_xlfn.UNIQUE(_xlfn._xlws.FILTER(Movimentação!C64:C562, Movimentação!C64:C562&lt;&gt;"")), "")</f>
        <v/>
      </c>
      <c r="B61" s="13" t="str">
        <f>IF(A61="","", SUMIF(Movimentação!C:C, A61, Movimentação!G:G))</f>
        <v/>
      </c>
      <c r="C61" s="12" t="str">
        <f>IF(A61="","", SUMIF(Movimentação!C:C, A61, Movimentação!F:F))</f>
        <v/>
      </c>
      <c r="D61" s="12" t="str" cm="1">
        <f t="array" ref="D61">IF(A61="","", _xlfn.TEXTJOIN(", ", TRUE, _xlfn.UNIQUE(_xlfn._xlws.FILTER(Movimentação!$E$2:$E$500, Movimentação!$C$2:$C$500=A61))))</f>
        <v/>
      </c>
    </row>
    <row r="62" spans="1:4" ht="24.95" customHeight="1" x14ac:dyDescent="0.25">
      <c r="A62" s="12" t="str" cm="1">
        <f t="array" ref="A62">IFERROR(_xlfn.UNIQUE(_xlfn._xlws.FILTER(Movimentação!C65:C563, Movimentação!C65:C563&lt;&gt;"")), "")</f>
        <v/>
      </c>
      <c r="B62" s="13" t="str">
        <f>IF(A62="","", SUMIF(Movimentação!C:C, A62, Movimentação!G:G))</f>
        <v/>
      </c>
      <c r="C62" s="12" t="str">
        <f>IF(A62="","", SUMIF(Movimentação!C:C, A62, Movimentação!F:F))</f>
        <v/>
      </c>
      <c r="D62" s="12" t="str" cm="1">
        <f t="array" ref="D62">IF(A62="","", _xlfn.TEXTJOIN(", ", TRUE, _xlfn.UNIQUE(_xlfn._xlws.FILTER(Movimentação!$E$2:$E$500, Movimentação!$C$2:$C$500=A62))))</f>
        <v/>
      </c>
    </row>
    <row r="63" spans="1:4" ht="24.95" customHeight="1" x14ac:dyDescent="0.25">
      <c r="A63" s="12" t="str" cm="1">
        <f t="array" ref="A63">IFERROR(_xlfn.UNIQUE(_xlfn._xlws.FILTER(Movimentação!C66:C564, Movimentação!C66:C564&lt;&gt;"")), "")</f>
        <v/>
      </c>
      <c r="B63" s="13" t="str">
        <f>IF(A63="","", SUMIF(Movimentação!C:C, A63, Movimentação!G:G))</f>
        <v/>
      </c>
      <c r="C63" s="12" t="str">
        <f>IF(A63="","", SUMIF(Movimentação!C:C, A63, Movimentação!F:F))</f>
        <v/>
      </c>
      <c r="D63" s="12" t="str" cm="1">
        <f t="array" ref="D63">IF(A63="","", _xlfn.TEXTJOIN(", ", TRUE, _xlfn.UNIQUE(_xlfn._xlws.FILTER(Movimentação!$E$2:$E$500, Movimentação!$C$2:$C$500=A63))))</f>
        <v/>
      </c>
    </row>
    <row r="64" spans="1:4" ht="24.95" customHeight="1" x14ac:dyDescent="0.25">
      <c r="A64" s="12" t="str" cm="1">
        <f t="array" ref="A64">IFERROR(_xlfn.UNIQUE(_xlfn._xlws.FILTER(Movimentação!C67:C565, Movimentação!C67:C565&lt;&gt;"")), "")</f>
        <v/>
      </c>
      <c r="B64" s="13" t="str">
        <f>IF(A64="","", SUMIF(Movimentação!C:C, A64, Movimentação!G:G))</f>
        <v/>
      </c>
      <c r="C64" s="12" t="str">
        <f>IF(A64="","", SUMIF(Movimentação!C:C, A64, Movimentação!F:F))</f>
        <v/>
      </c>
      <c r="D64" s="12" t="str" cm="1">
        <f t="array" ref="D64">IF(A64="","", _xlfn.TEXTJOIN(", ", TRUE, _xlfn.UNIQUE(_xlfn._xlws.FILTER(Movimentação!$E$2:$E$500, Movimentação!$C$2:$C$500=A64))))</f>
        <v/>
      </c>
    </row>
    <row r="65" spans="1:4" ht="24.95" customHeight="1" x14ac:dyDescent="0.25">
      <c r="A65" s="12" t="str" cm="1">
        <f t="array" ref="A65">IFERROR(_xlfn.UNIQUE(_xlfn._xlws.FILTER(Movimentação!C68:C566, Movimentação!C68:C566&lt;&gt;"")), "")</f>
        <v/>
      </c>
      <c r="B65" s="13" t="str">
        <f>IF(A65="","", SUMIF(Movimentação!C:C, A65, Movimentação!G:G))</f>
        <v/>
      </c>
      <c r="C65" s="12" t="str">
        <f>IF(A65="","", SUMIF(Movimentação!C:C, A65, Movimentação!F:F))</f>
        <v/>
      </c>
      <c r="D65" s="12" t="str" cm="1">
        <f t="array" ref="D65">IF(A65="","", _xlfn.TEXTJOIN(", ", TRUE, _xlfn.UNIQUE(_xlfn._xlws.FILTER(Movimentação!$E$2:$E$500, Movimentação!$C$2:$C$500=A65))))</f>
        <v/>
      </c>
    </row>
    <row r="66" spans="1:4" ht="24.95" customHeight="1" x14ac:dyDescent="0.25">
      <c r="A66" s="12" t="str" cm="1">
        <f t="array" ref="A66">IFERROR(_xlfn.UNIQUE(_xlfn._xlws.FILTER(Movimentação!C69:C567, Movimentação!C69:C567&lt;&gt;"")), "")</f>
        <v/>
      </c>
      <c r="B66" s="13" t="str">
        <f>IF(A66="","", SUMIF(Movimentação!C:C, A66, Movimentação!G:G))</f>
        <v/>
      </c>
      <c r="C66" s="12" t="str">
        <f>IF(A66="","", SUMIF(Movimentação!C:C, A66, Movimentação!F:F))</f>
        <v/>
      </c>
      <c r="D66" s="12" t="str" cm="1">
        <f t="array" ref="D66">IF(A66="","", _xlfn.TEXTJOIN(", ", TRUE, _xlfn.UNIQUE(_xlfn._xlws.FILTER(Movimentação!$E$2:$E$500, Movimentação!$C$2:$C$500=A66))))</f>
        <v/>
      </c>
    </row>
    <row r="67" spans="1:4" ht="24.95" customHeight="1" x14ac:dyDescent="0.25">
      <c r="A67" s="12" t="str" cm="1">
        <f t="array" ref="A67">IFERROR(_xlfn.UNIQUE(_xlfn._xlws.FILTER(Movimentação!C70:C568, Movimentação!C70:C568&lt;&gt;"")), "")</f>
        <v/>
      </c>
      <c r="B67" s="13" t="str">
        <f>IF(A67="","", SUMIF(Movimentação!C:C, A67, Movimentação!G:G))</f>
        <v/>
      </c>
      <c r="C67" s="12" t="str">
        <f>IF(A67="","", SUMIF(Movimentação!C:C, A67, Movimentação!F:F))</f>
        <v/>
      </c>
      <c r="D67" s="12" t="str" cm="1">
        <f t="array" ref="D67">IF(A67="","", _xlfn.TEXTJOIN(", ", TRUE, _xlfn.UNIQUE(_xlfn._xlws.FILTER(Movimentação!$E$2:$E$500, Movimentação!$C$2:$C$500=A67))))</f>
        <v/>
      </c>
    </row>
    <row r="68" spans="1:4" ht="24.95" customHeight="1" x14ac:dyDescent="0.25">
      <c r="A68" s="12" t="str" cm="1">
        <f t="array" ref="A68">IFERROR(_xlfn.UNIQUE(_xlfn._xlws.FILTER(Movimentação!C71:C569, Movimentação!C71:C569&lt;&gt;"")), "")</f>
        <v/>
      </c>
      <c r="B68" s="13" t="str">
        <f>IF(A68="","", SUMIF(Movimentação!C:C, A68, Movimentação!G:G))</f>
        <v/>
      </c>
      <c r="C68" s="12" t="str">
        <f>IF(A68="","", SUMIF(Movimentação!C:C, A68, Movimentação!F:F))</f>
        <v/>
      </c>
      <c r="D68" s="12" t="str" cm="1">
        <f t="array" ref="D68">IF(A68="","", _xlfn.TEXTJOIN(", ", TRUE, _xlfn.UNIQUE(_xlfn._xlws.FILTER(Movimentação!$E$2:$E$500, Movimentação!$C$2:$C$500=A68))))</f>
        <v/>
      </c>
    </row>
    <row r="69" spans="1:4" ht="24.95" customHeight="1" x14ac:dyDescent="0.25">
      <c r="A69" s="12" t="str" cm="1">
        <f t="array" ref="A69">IFERROR(_xlfn.UNIQUE(_xlfn._xlws.FILTER(Movimentação!C72:C570, Movimentação!C72:C570&lt;&gt;"")), "")</f>
        <v/>
      </c>
      <c r="B69" s="13" t="str">
        <f>IF(A69="","", SUMIF(Movimentação!C:C, A69, Movimentação!G:G))</f>
        <v/>
      </c>
      <c r="C69" s="12" t="str">
        <f>IF(A69="","", SUMIF(Movimentação!C:C, A69, Movimentação!F:F))</f>
        <v/>
      </c>
      <c r="D69" s="12" t="str" cm="1">
        <f t="array" ref="D69">IF(A69="","", _xlfn.TEXTJOIN(", ", TRUE, _xlfn.UNIQUE(_xlfn._xlws.FILTER(Movimentação!$E$2:$E$500, Movimentação!$C$2:$C$500=A69))))</f>
        <v/>
      </c>
    </row>
    <row r="70" spans="1:4" ht="24.95" customHeight="1" x14ac:dyDescent="0.25">
      <c r="A70" s="12" t="str" cm="1">
        <f t="array" ref="A70">IFERROR(_xlfn.UNIQUE(_xlfn._xlws.FILTER(Movimentação!C73:C571, Movimentação!C73:C571&lt;&gt;"")), "")</f>
        <v/>
      </c>
      <c r="B70" s="13" t="str">
        <f>IF(A70="","", SUMIF(Movimentação!C:C, A70, Movimentação!G:G))</f>
        <v/>
      </c>
      <c r="C70" s="12" t="str">
        <f>IF(A70="","", SUMIF(Movimentação!C:C, A70, Movimentação!F:F))</f>
        <v/>
      </c>
      <c r="D70" s="12" t="str" cm="1">
        <f t="array" ref="D70">IF(A70="","", _xlfn.TEXTJOIN(", ", TRUE, _xlfn.UNIQUE(_xlfn._xlws.FILTER(Movimentação!$E$2:$E$500, Movimentação!$C$2:$C$500=A70))))</f>
        <v/>
      </c>
    </row>
    <row r="71" spans="1:4" ht="24.95" customHeight="1" x14ac:dyDescent="0.25">
      <c r="A71" s="12" t="str" cm="1">
        <f t="array" ref="A71">IFERROR(_xlfn.UNIQUE(_xlfn._xlws.FILTER(Movimentação!C74:C572, Movimentação!C74:C572&lt;&gt;"")), "")</f>
        <v/>
      </c>
      <c r="B71" s="13" t="str">
        <f>IF(A71="","", SUMIF(Movimentação!C:C, A71, Movimentação!G:G))</f>
        <v/>
      </c>
      <c r="C71" s="12" t="str">
        <f>IF(A71="","", SUMIF(Movimentação!C:C, A71, Movimentação!F:F))</f>
        <v/>
      </c>
      <c r="D71" s="12" t="str" cm="1">
        <f t="array" ref="D71">IF(A71="","", _xlfn.TEXTJOIN(", ", TRUE, _xlfn.UNIQUE(_xlfn._xlws.FILTER(Movimentação!$E$2:$E$500, Movimentação!$C$2:$C$500=A71))))</f>
        <v/>
      </c>
    </row>
    <row r="72" spans="1:4" ht="24.95" customHeight="1" x14ac:dyDescent="0.25">
      <c r="A72" s="12" t="str" cm="1">
        <f t="array" ref="A72">IFERROR(_xlfn.UNIQUE(_xlfn._xlws.FILTER(Movimentação!C75:C573, Movimentação!C75:C573&lt;&gt;"")), "")</f>
        <v/>
      </c>
      <c r="B72" s="13" t="str">
        <f>IF(A72="","", SUMIF(Movimentação!C:C, A72, Movimentação!G:G))</f>
        <v/>
      </c>
      <c r="C72" s="12" t="str">
        <f>IF(A72="","", SUMIF(Movimentação!C:C, A72, Movimentação!F:F))</f>
        <v/>
      </c>
      <c r="D72" s="12" t="str" cm="1">
        <f t="array" ref="D72">IF(A72="","", _xlfn.TEXTJOIN(", ", TRUE, _xlfn.UNIQUE(_xlfn._xlws.FILTER(Movimentação!$E$2:$E$500, Movimentação!$C$2:$C$500=A72))))</f>
        <v/>
      </c>
    </row>
    <row r="73" spans="1:4" ht="24.95" customHeight="1" x14ac:dyDescent="0.25">
      <c r="A73" s="12" t="str" cm="1">
        <f t="array" ref="A73">IFERROR(_xlfn.UNIQUE(_xlfn._xlws.FILTER(Movimentação!C76:C574, Movimentação!C76:C574&lt;&gt;"")), "")</f>
        <v/>
      </c>
      <c r="B73" s="13" t="str">
        <f>IF(A73="","", SUMIF(Movimentação!C:C, A73, Movimentação!G:G))</f>
        <v/>
      </c>
      <c r="C73" s="12" t="str">
        <f>IF(A73="","", SUMIF(Movimentação!C:C, A73, Movimentação!F:F))</f>
        <v/>
      </c>
      <c r="D73" s="12" t="str" cm="1">
        <f t="array" ref="D73">IF(A73="","", _xlfn.TEXTJOIN(", ", TRUE, _xlfn.UNIQUE(_xlfn._xlws.FILTER(Movimentação!$E$2:$E$500, Movimentação!$C$2:$C$500=A73))))</f>
        <v/>
      </c>
    </row>
    <row r="74" spans="1:4" ht="24.95" customHeight="1" x14ac:dyDescent="0.25">
      <c r="A74" s="12" t="str" cm="1">
        <f t="array" ref="A74">IFERROR(_xlfn.UNIQUE(_xlfn._xlws.FILTER(Movimentação!C77:C575, Movimentação!C77:C575&lt;&gt;"")), "")</f>
        <v/>
      </c>
      <c r="B74" s="13" t="str">
        <f>IF(A74="","", SUMIF(Movimentação!C:C, A74, Movimentação!G:G))</f>
        <v/>
      </c>
      <c r="C74" s="12" t="str">
        <f>IF(A74="","", SUMIF(Movimentação!C:C, A74, Movimentação!F:F))</f>
        <v/>
      </c>
      <c r="D74" s="12" t="str" cm="1">
        <f t="array" ref="D74">IF(A74="","", _xlfn.TEXTJOIN(", ", TRUE, _xlfn.UNIQUE(_xlfn._xlws.FILTER(Movimentação!$E$2:$E$500, Movimentação!$C$2:$C$500=A74))))</f>
        <v/>
      </c>
    </row>
    <row r="75" spans="1:4" ht="24.95" customHeight="1" x14ac:dyDescent="0.25">
      <c r="A75" s="12" t="str" cm="1">
        <f t="array" ref="A75">IFERROR(_xlfn.UNIQUE(_xlfn._xlws.FILTER(Movimentação!C78:C576, Movimentação!C78:C576&lt;&gt;"")), "")</f>
        <v/>
      </c>
      <c r="B75" s="13" t="str">
        <f>IF(A75="","", SUMIF(Movimentação!C:C, A75, Movimentação!G:G))</f>
        <v/>
      </c>
      <c r="C75" s="12" t="str">
        <f>IF(A75="","", SUMIF(Movimentação!C:C, A75, Movimentação!F:F))</f>
        <v/>
      </c>
      <c r="D75" s="12" t="str" cm="1">
        <f t="array" ref="D75">IF(A75="","", _xlfn.TEXTJOIN(", ", TRUE, _xlfn.UNIQUE(_xlfn._xlws.FILTER(Movimentação!$E$2:$E$500, Movimentação!$C$2:$C$500=A75))))</f>
        <v/>
      </c>
    </row>
    <row r="76" spans="1:4" ht="24.95" customHeight="1" x14ac:dyDescent="0.25">
      <c r="A76" s="12" t="str" cm="1">
        <f t="array" ref="A76">IFERROR(_xlfn.UNIQUE(_xlfn._xlws.FILTER(Movimentação!C79:C577, Movimentação!C79:C577&lt;&gt;"")), "")</f>
        <v/>
      </c>
      <c r="B76" s="13" t="str">
        <f>IF(A76="","", SUMIF(Movimentação!C:C, A76, Movimentação!G:G))</f>
        <v/>
      </c>
      <c r="C76" s="12" t="str">
        <f>IF(A76="","", SUMIF(Movimentação!C:C, A76, Movimentação!F:F))</f>
        <v/>
      </c>
      <c r="D76" s="12" t="str" cm="1">
        <f t="array" ref="D76">IF(A76="","", _xlfn.TEXTJOIN(", ", TRUE, _xlfn.UNIQUE(_xlfn._xlws.FILTER(Movimentação!$E$2:$E$500, Movimentação!$C$2:$C$500=A76))))</f>
        <v/>
      </c>
    </row>
    <row r="77" spans="1:4" ht="24.95" customHeight="1" x14ac:dyDescent="0.25">
      <c r="A77" s="12" t="str" cm="1">
        <f t="array" ref="A77">IFERROR(_xlfn.UNIQUE(_xlfn._xlws.FILTER(Movimentação!C80:C578, Movimentação!C80:C578&lt;&gt;"")), "")</f>
        <v/>
      </c>
      <c r="B77" s="13" t="str">
        <f>IF(A77="","", SUMIF(Movimentação!C:C, A77, Movimentação!G:G))</f>
        <v/>
      </c>
      <c r="C77" s="12" t="str">
        <f>IF(A77="","", SUMIF(Movimentação!C:C, A77, Movimentação!F:F))</f>
        <v/>
      </c>
      <c r="D77" s="12" t="str" cm="1">
        <f t="array" ref="D77">IF(A77="","", _xlfn.TEXTJOIN(", ", TRUE, _xlfn.UNIQUE(_xlfn._xlws.FILTER(Movimentação!$E$2:$E$500, Movimentação!$C$2:$C$500=A77))))</f>
        <v/>
      </c>
    </row>
    <row r="78" spans="1:4" ht="24.95" customHeight="1" x14ac:dyDescent="0.25">
      <c r="A78" s="12" t="str" cm="1">
        <f t="array" ref="A78">IFERROR(_xlfn.UNIQUE(_xlfn._xlws.FILTER(Movimentação!C81:C579, Movimentação!C81:C579&lt;&gt;"")), "")</f>
        <v/>
      </c>
      <c r="B78" s="13" t="str">
        <f>IF(A78="","", SUMIF(Movimentação!C:C, A78, Movimentação!G:G))</f>
        <v/>
      </c>
      <c r="C78" s="12" t="str">
        <f>IF(A78="","", SUMIF(Movimentação!C:C, A78, Movimentação!F:F))</f>
        <v/>
      </c>
      <c r="D78" s="12" t="str" cm="1">
        <f t="array" ref="D78">IF(A78="","", _xlfn.TEXTJOIN(", ", TRUE, _xlfn.UNIQUE(_xlfn._xlws.FILTER(Movimentação!$E$2:$E$500, Movimentação!$C$2:$C$500=A78))))</f>
        <v/>
      </c>
    </row>
    <row r="79" spans="1:4" ht="24.95" customHeight="1" x14ac:dyDescent="0.25">
      <c r="A79" s="12" t="str" cm="1">
        <f t="array" ref="A79">IFERROR(_xlfn.UNIQUE(_xlfn._xlws.FILTER(Movimentação!C82:C580, Movimentação!C82:C580&lt;&gt;"")), "")</f>
        <v/>
      </c>
      <c r="B79" s="13" t="str">
        <f>IF(A79="","", SUMIF(Movimentação!C:C, A79, Movimentação!G:G))</f>
        <v/>
      </c>
      <c r="C79" s="12" t="str">
        <f>IF(A79="","", SUMIF(Movimentação!C:C, A79, Movimentação!F:F))</f>
        <v/>
      </c>
      <c r="D79" s="12" t="str" cm="1">
        <f t="array" ref="D79">IF(A79="","", _xlfn.TEXTJOIN(", ", TRUE, _xlfn.UNIQUE(_xlfn._xlws.FILTER(Movimentação!$E$2:$E$500, Movimentação!$C$2:$C$500=A79))))</f>
        <v/>
      </c>
    </row>
    <row r="80" spans="1:4" ht="24.95" customHeight="1" x14ac:dyDescent="0.25">
      <c r="A80" s="12" t="str" cm="1">
        <f t="array" ref="A80">IFERROR(_xlfn.UNIQUE(_xlfn._xlws.FILTER(Movimentação!C83:C581, Movimentação!C83:C581&lt;&gt;"")), "")</f>
        <v/>
      </c>
      <c r="B80" s="13" t="str">
        <f>IF(A80="","", SUMIF(Movimentação!C:C, A80, Movimentação!G:G))</f>
        <v/>
      </c>
      <c r="C80" s="12" t="str">
        <f>IF(A80="","", SUMIF(Movimentação!C:C, A80, Movimentação!F:F))</f>
        <v/>
      </c>
      <c r="D80" s="12" t="str" cm="1">
        <f t="array" ref="D80">IF(A80="","", _xlfn.TEXTJOIN(", ", TRUE, _xlfn.UNIQUE(_xlfn._xlws.FILTER(Movimentação!$E$2:$E$500, Movimentação!$C$2:$C$500=A80))))</f>
        <v/>
      </c>
    </row>
    <row r="81" spans="1:4" ht="24.95" customHeight="1" x14ac:dyDescent="0.25">
      <c r="A81" s="12" t="str" cm="1">
        <f t="array" ref="A81">IFERROR(_xlfn.UNIQUE(_xlfn._xlws.FILTER(Movimentação!C84:C582, Movimentação!C84:C582&lt;&gt;"")), "")</f>
        <v/>
      </c>
      <c r="B81" s="13" t="str">
        <f>IF(A81="","", SUMIF(Movimentação!C:C, A81, Movimentação!G:G))</f>
        <v/>
      </c>
      <c r="C81" s="12" t="str">
        <f>IF(A81="","", SUMIF(Movimentação!C:C, A81, Movimentação!F:F))</f>
        <v/>
      </c>
      <c r="D81" s="12" t="str" cm="1">
        <f t="array" ref="D81">IF(A81="","", _xlfn.TEXTJOIN(", ", TRUE, _xlfn.UNIQUE(_xlfn._xlws.FILTER(Movimentação!$E$2:$E$500, Movimentação!$C$2:$C$500=A81))))</f>
        <v/>
      </c>
    </row>
    <row r="82" spans="1:4" ht="24.95" customHeight="1" x14ac:dyDescent="0.25">
      <c r="A82" s="12" t="str" cm="1">
        <f t="array" ref="A82">IFERROR(_xlfn.UNIQUE(_xlfn._xlws.FILTER(Movimentação!C85:C583, Movimentação!C85:C583&lt;&gt;"")), "")</f>
        <v/>
      </c>
      <c r="B82" s="13" t="str">
        <f>IF(A82="","", SUMIF(Movimentação!C:C, A82, Movimentação!G:G))</f>
        <v/>
      </c>
      <c r="C82" s="12" t="str">
        <f>IF(A82="","", SUMIF(Movimentação!C:C, A82, Movimentação!F:F))</f>
        <v/>
      </c>
      <c r="D82" s="12" t="str" cm="1">
        <f t="array" ref="D82">IF(A82="","", _xlfn.TEXTJOIN(", ", TRUE, _xlfn.UNIQUE(_xlfn._xlws.FILTER(Movimentação!$E$2:$E$500, Movimentação!$C$2:$C$500=A82))))</f>
        <v/>
      </c>
    </row>
    <row r="83" spans="1:4" ht="24.95" customHeight="1" x14ac:dyDescent="0.25">
      <c r="A83" s="12" t="str" cm="1">
        <f t="array" ref="A83">IFERROR(_xlfn.UNIQUE(_xlfn._xlws.FILTER(Movimentação!C86:C584, Movimentação!C86:C584&lt;&gt;"")), "")</f>
        <v/>
      </c>
      <c r="B83" s="13" t="str">
        <f>IF(A83="","", SUMIF(Movimentação!C:C, A83, Movimentação!G:G))</f>
        <v/>
      </c>
      <c r="C83" s="12" t="str">
        <f>IF(A83="","", SUMIF(Movimentação!C:C, A83, Movimentação!F:F))</f>
        <v/>
      </c>
      <c r="D83" s="12" t="str" cm="1">
        <f t="array" ref="D83">IF(A83="","", _xlfn.TEXTJOIN(", ", TRUE, _xlfn.UNIQUE(_xlfn._xlws.FILTER(Movimentação!$E$2:$E$500, Movimentação!$C$2:$C$500=A83))))</f>
        <v/>
      </c>
    </row>
    <row r="84" spans="1:4" ht="24.95" customHeight="1" x14ac:dyDescent="0.25">
      <c r="A84" s="12" t="str" cm="1">
        <f t="array" ref="A84">IFERROR(_xlfn.UNIQUE(_xlfn._xlws.FILTER(Movimentação!C87:C585, Movimentação!C87:C585&lt;&gt;"")), "")</f>
        <v/>
      </c>
      <c r="B84" s="13" t="str">
        <f>IF(A84="","", SUMIF(Movimentação!C:C, A84, Movimentação!G:G))</f>
        <v/>
      </c>
      <c r="C84" s="12" t="str">
        <f>IF(A84="","", SUMIF(Movimentação!C:C, A84, Movimentação!F:F))</f>
        <v/>
      </c>
      <c r="D84" s="12" t="str" cm="1">
        <f t="array" ref="D84">IF(A84="","", _xlfn.TEXTJOIN(", ", TRUE, _xlfn.UNIQUE(_xlfn._xlws.FILTER(Movimentação!$E$2:$E$500, Movimentação!$C$2:$C$500=A84))))</f>
        <v/>
      </c>
    </row>
    <row r="85" spans="1:4" ht="24.95" customHeight="1" x14ac:dyDescent="0.25">
      <c r="A85" s="12" t="str" cm="1">
        <f t="array" ref="A85">IFERROR(_xlfn.UNIQUE(_xlfn._xlws.FILTER(Movimentação!C88:C586, Movimentação!C88:C586&lt;&gt;"")), "")</f>
        <v/>
      </c>
      <c r="B85" s="13" t="str">
        <f>IF(A85="","", SUMIF(Movimentação!C:C, A85, Movimentação!G:G))</f>
        <v/>
      </c>
      <c r="C85" s="12" t="str">
        <f>IF(A85="","", SUMIF(Movimentação!C:C, A85, Movimentação!F:F))</f>
        <v/>
      </c>
      <c r="D85" s="12" t="str" cm="1">
        <f t="array" ref="D85">IF(A85="","", _xlfn.TEXTJOIN(", ", TRUE, _xlfn.UNIQUE(_xlfn._xlws.FILTER(Movimentação!$E$2:$E$500, Movimentação!$C$2:$C$500=A85))))</f>
        <v/>
      </c>
    </row>
    <row r="86" spans="1:4" ht="24.95" customHeight="1" x14ac:dyDescent="0.25">
      <c r="A86" s="12" t="str" cm="1">
        <f t="array" ref="A86">IFERROR(_xlfn.UNIQUE(_xlfn._xlws.FILTER(Movimentação!C89:C587, Movimentação!C89:C587&lt;&gt;"")), "")</f>
        <v/>
      </c>
      <c r="B86" s="13" t="str">
        <f>IF(A86="","", SUMIF(Movimentação!C:C, A86, Movimentação!G:G))</f>
        <v/>
      </c>
      <c r="C86" s="12" t="str">
        <f>IF(A86="","", SUMIF(Movimentação!C:C, A86, Movimentação!F:F))</f>
        <v/>
      </c>
      <c r="D86" s="12" t="str" cm="1">
        <f t="array" ref="D86">IF(A86="","", _xlfn.TEXTJOIN(", ", TRUE, _xlfn.UNIQUE(_xlfn._xlws.FILTER(Movimentação!$E$2:$E$500, Movimentação!$C$2:$C$500=A86))))</f>
        <v/>
      </c>
    </row>
    <row r="87" spans="1:4" ht="24.95" customHeight="1" x14ac:dyDescent="0.25">
      <c r="A87" s="12" t="str" cm="1">
        <f t="array" ref="A87">IFERROR(_xlfn.UNIQUE(_xlfn._xlws.FILTER(Movimentação!C90:C588, Movimentação!C90:C588&lt;&gt;"")), "")</f>
        <v/>
      </c>
      <c r="B87" s="13" t="str">
        <f>IF(A87="","", SUMIF(Movimentação!C:C, A87, Movimentação!G:G))</f>
        <v/>
      </c>
      <c r="C87" s="12" t="str">
        <f>IF(A87="","", SUMIF(Movimentação!C:C, A87, Movimentação!F:F))</f>
        <v/>
      </c>
      <c r="D87" s="12" t="str" cm="1">
        <f t="array" ref="D87">IF(A87="","", _xlfn.TEXTJOIN(", ", TRUE, _xlfn.UNIQUE(_xlfn._xlws.FILTER(Movimentação!$E$2:$E$500, Movimentação!$C$2:$C$500=A87))))</f>
        <v/>
      </c>
    </row>
    <row r="88" spans="1:4" ht="24.95" customHeight="1" x14ac:dyDescent="0.25">
      <c r="A88" s="12" t="str" cm="1">
        <f t="array" ref="A88">IFERROR(_xlfn.UNIQUE(_xlfn._xlws.FILTER(Movimentação!C91:C589, Movimentação!C91:C589&lt;&gt;"")), "")</f>
        <v/>
      </c>
      <c r="B88" s="13" t="str">
        <f>IF(A88="","", SUMIF(Movimentação!C:C, A88, Movimentação!G:G))</f>
        <v/>
      </c>
      <c r="C88" s="12" t="str">
        <f>IF(A88="","", SUMIF(Movimentação!C:C, A88, Movimentação!F:F))</f>
        <v/>
      </c>
      <c r="D88" s="12" t="str" cm="1">
        <f t="array" ref="D88">IF(A88="","", _xlfn.TEXTJOIN(", ", TRUE, _xlfn.UNIQUE(_xlfn._xlws.FILTER(Movimentação!$E$2:$E$500, Movimentação!$C$2:$C$500=A88))))</f>
        <v/>
      </c>
    </row>
    <row r="89" spans="1:4" ht="24.95" customHeight="1" x14ac:dyDescent="0.25">
      <c r="A89" s="12" t="str" cm="1">
        <f t="array" ref="A89">IFERROR(_xlfn.UNIQUE(_xlfn._xlws.FILTER(Movimentação!C92:C590, Movimentação!C92:C590&lt;&gt;"")), "")</f>
        <v/>
      </c>
      <c r="B89" s="13" t="str">
        <f>IF(A89="","", SUMIF(Movimentação!C:C, A89, Movimentação!G:G))</f>
        <v/>
      </c>
      <c r="C89" s="12" t="str">
        <f>IF(A89="","", SUMIF(Movimentação!C:C, A89, Movimentação!F:F))</f>
        <v/>
      </c>
      <c r="D89" s="12" t="str" cm="1">
        <f t="array" ref="D89">IF(A89="","", _xlfn.TEXTJOIN(", ", TRUE, _xlfn.UNIQUE(_xlfn._xlws.FILTER(Movimentação!$E$2:$E$500, Movimentação!$C$2:$C$500=A89))))</f>
        <v/>
      </c>
    </row>
    <row r="90" spans="1:4" ht="24.95" customHeight="1" x14ac:dyDescent="0.25">
      <c r="A90" s="12" t="str" cm="1">
        <f t="array" ref="A90">IFERROR(_xlfn.UNIQUE(_xlfn._xlws.FILTER(Movimentação!C93:C591, Movimentação!C93:C591&lt;&gt;"")), "")</f>
        <v/>
      </c>
      <c r="B90" s="13" t="str">
        <f>IF(A90="","", SUMIF(Movimentação!C:C, A90, Movimentação!G:G))</f>
        <v/>
      </c>
      <c r="C90" s="12" t="str">
        <f>IF(A90="","", SUMIF(Movimentação!C:C, A90, Movimentação!F:F))</f>
        <v/>
      </c>
      <c r="D90" s="12" t="str" cm="1">
        <f t="array" ref="D90">IF(A90="","", _xlfn.TEXTJOIN(", ", TRUE, _xlfn.UNIQUE(_xlfn._xlws.FILTER(Movimentação!$E$2:$E$500, Movimentação!$C$2:$C$500=A90))))</f>
        <v/>
      </c>
    </row>
    <row r="91" spans="1:4" ht="24.95" customHeight="1" x14ac:dyDescent="0.25">
      <c r="A91" s="12" t="str" cm="1">
        <f t="array" ref="A91">IFERROR(_xlfn.UNIQUE(_xlfn._xlws.FILTER(Movimentação!C94:C592, Movimentação!C94:C592&lt;&gt;"")), "")</f>
        <v/>
      </c>
      <c r="B91" s="13" t="str">
        <f>IF(A91="","", SUMIF(Movimentação!C:C, A91, Movimentação!G:G))</f>
        <v/>
      </c>
      <c r="C91" s="12" t="str">
        <f>IF(A91="","", SUMIF(Movimentação!C:C, A91, Movimentação!F:F))</f>
        <v/>
      </c>
      <c r="D91" s="12" t="str" cm="1">
        <f t="array" ref="D91">IF(A91="","", _xlfn.TEXTJOIN(", ", TRUE, _xlfn.UNIQUE(_xlfn._xlws.FILTER(Movimentação!$E$2:$E$500, Movimentação!$C$2:$C$500=A91))))</f>
        <v/>
      </c>
    </row>
    <row r="92" spans="1:4" ht="24.95" customHeight="1" x14ac:dyDescent="0.25">
      <c r="A92" s="12" t="str" cm="1">
        <f t="array" ref="A92">IFERROR(_xlfn.UNIQUE(_xlfn._xlws.FILTER(Movimentação!C95:C593, Movimentação!C95:C593&lt;&gt;"")), "")</f>
        <v/>
      </c>
      <c r="B92" s="13" t="str">
        <f>IF(A92="","", SUMIF(Movimentação!C:C, A92, Movimentação!G:G))</f>
        <v/>
      </c>
      <c r="C92" s="12" t="str">
        <f>IF(A92="","", SUMIF(Movimentação!C:C, A92, Movimentação!F:F))</f>
        <v/>
      </c>
      <c r="D92" s="12" t="str" cm="1">
        <f t="array" ref="D92">IF(A92="","", _xlfn.TEXTJOIN(", ", TRUE, _xlfn.UNIQUE(_xlfn._xlws.FILTER(Movimentação!$E$2:$E$500, Movimentação!$C$2:$C$500=A92))))</f>
        <v/>
      </c>
    </row>
    <row r="93" spans="1:4" ht="24.95" customHeight="1" x14ac:dyDescent="0.25">
      <c r="A93" s="12" t="str" cm="1">
        <f t="array" ref="A93">IFERROR(_xlfn.UNIQUE(_xlfn._xlws.FILTER(Movimentação!C96:C594, Movimentação!C96:C594&lt;&gt;"")), "")</f>
        <v/>
      </c>
      <c r="B93" s="13" t="str">
        <f>IF(A93="","", SUMIF(Movimentação!C:C, A93, Movimentação!G:G))</f>
        <v/>
      </c>
      <c r="C93" s="12" t="str">
        <f>IF(A93="","", SUMIF(Movimentação!C:C, A93, Movimentação!F:F))</f>
        <v/>
      </c>
      <c r="D93" s="12" t="str" cm="1">
        <f t="array" ref="D93">IF(A93="","", _xlfn.TEXTJOIN(", ", TRUE, _xlfn.UNIQUE(_xlfn._xlws.FILTER(Movimentação!$E$2:$E$500, Movimentação!$C$2:$C$500=A93))))</f>
        <v/>
      </c>
    </row>
    <row r="94" spans="1:4" ht="24.95" customHeight="1" x14ac:dyDescent="0.25">
      <c r="A94" s="12" t="str" cm="1">
        <f t="array" ref="A94">IFERROR(_xlfn.UNIQUE(_xlfn._xlws.FILTER(Movimentação!C97:C595, Movimentação!C97:C595&lt;&gt;"")), "")</f>
        <v/>
      </c>
      <c r="B94" s="13" t="str">
        <f>IF(A94="","", SUMIF(Movimentação!C:C, A94, Movimentação!G:G))</f>
        <v/>
      </c>
      <c r="C94" s="12" t="str">
        <f>IF(A94="","", SUMIF(Movimentação!C:C, A94, Movimentação!F:F))</f>
        <v/>
      </c>
      <c r="D94" s="12" t="str" cm="1">
        <f t="array" ref="D94">IF(A94="","", _xlfn.TEXTJOIN(", ", TRUE, _xlfn.UNIQUE(_xlfn._xlws.FILTER(Movimentação!$E$2:$E$500, Movimentação!$C$2:$C$500=A94))))</f>
        <v/>
      </c>
    </row>
    <row r="95" spans="1:4" ht="24.95" customHeight="1" x14ac:dyDescent="0.25">
      <c r="A95" s="12" t="str" cm="1">
        <f t="array" ref="A95">IFERROR(_xlfn.UNIQUE(_xlfn._xlws.FILTER(Movimentação!C98:C596, Movimentação!C98:C596&lt;&gt;"")), "")</f>
        <v/>
      </c>
      <c r="B95" s="13" t="str">
        <f>IF(A95="","", SUMIF(Movimentação!C:C, A95, Movimentação!G:G))</f>
        <v/>
      </c>
      <c r="C95" s="12" t="str">
        <f>IF(A95="","", SUMIF(Movimentação!C:C, A95, Movimentação!F:F))</f>
        <v/>
      </c>
      <c r="D95" s="12" t="str" cm="1">
        <f t="array" ref="D95">IF(A95="","", _xlfn.TEXTJOIN(", ", TRUE, _xlfn.UNIQUE(_xlfn._xlws.FILTER(Movimentação!$E$2:$E$500, Movimentação!$C$2:$C$500=A95))))</f>
        <v/>
      </c>
    </row>
    <row r="96" spans="1:4" ht="24.95" customHeight="1" x14ac:dyDescent="0.25">
      <c r="A96" s="12" t="str" cm="1">
        <f t="array" ref="A96">IFERROR(_xlfn.UNIQUE(_xlfn._xlws.FILTER(Movimentação!C99:C597, Movimentação!C99:C597&lt;&gt;"")), "")</f>
        <v/>
      </c>
      <c r="B96" s="13" t="str">
        <f>IF(A96="","", SUMIF(Movimentação!C:C, A96, Movimentação!G:G))</f>
        <v/>
      </c>
      <c r="C96" s="12" t="str">
        <f>IF(A96="","", SUMIF(Movimentação!C:C, A96, Movimentação!F:F))</f>
        <v/>
      </c>
      <c r="D96" s="12" t="str" cm="1">
        <f t="array" ref="D96">IF(A96="","", _xlfn.TEXTJOIN(", ", TRUE, _xlfn.UNIQUE(_xlfn._xlws.FILTER(Movimentação!$E$2:$E$500, Movimentação!$C$2:$C$500=A96))))</f>
        <v/>
      </c>
    </row>
    <row r="97" spans="1:4" ht="24.95" customHeight="1" x14ac:dyDescent="0.25">
      <c r="A97" s="12" t="str" cm="1">
        <f t="array" ref="A97">IFERROR(_xlfn.UNIQUE(_xlfn._xlws.FILTER(Movimentação!C100:C598, Movimentação!C100:C598&lt;&gt;"")), "")</f>
        <v/>
      </c>
      <c r="B97" s="13" t="str">
        <f>IF(A97="","", SUMIF(Movimentação!C:C, A97, Movimentação!G:G))</f>
        <v/>
      </c>
      <c r="C97" s="12" t="str">
        <f>IF(A97="","", SUMIF(Movimentação!C:C, A97, Movimentação!F:F))</f>
        <v/>
      </c>
      <c r="D97" s="12" t="str" cm="1">
        <f t="array" ref="D97">IF(A97="","", _xlfn.TEXTJOIN(", ", TRUE, _xlfn.UNIQUE(_xlfn._xlws.FILTER(Movimentação!$E$2:$E$500, Movimentação!$C$2:$C$500=A97))))</f>
        <v/>
      </c>
    </row>
  </sheetData>
  <mergeCells count="17">
    <mergeCell ref="G7:H7"/>
    <mergeCell ref="G14:H14"/>
    <mergeCell ref="G15:H15"/>
    <mergeCell ref="G16:H16"/>
    <mergeCell ref="I1:J1"/>
    <mergeCell ref="I2:J2"/>
    <mergeCell ref="G8:H8"/>
    <mergeCell ref="G9:H9"/>
    <mergeCell ref="G10:H10"/>
    <mergeCell ref="G11:H11"/>
    <mergeCell ref="G12:H12"/>
    <mergeCell ref="G13:H13"/>
    <mergeCell ref="F1:H1"/>
    <mergeCell ref="F2:H2"/>
    <mergeCell ref="G4:H4"/>
    <mergeCell ref="G5:H5"/>
    <mergeCell ref="G6:H6"/>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Estoque_Cadastro</vt:lpstr>
      <vt:lpstr>Movimentação</vt:lpstr>
      <vt:lpstr>Relatório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Jonas Guinami</cp:lastModifiedBy>
  <dcterms:created xsi:type="dcterms:W3CDTF">2026-04-14T23:45:33Z</dcterms:created>
  <dcterms:modified xsi:type="dcterms:W3CDTF">2026-04-15T00:53:46Z</dcterms:modified>
</cp:coreProperties>
</file>